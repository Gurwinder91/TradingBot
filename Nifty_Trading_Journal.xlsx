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Journal" sheetId="1" state="visible" r:id="rId1"/>
    <sheet xmlns:r="http://schemas.openxmlformats.org/officeDocument/2006/relationships" name="Performance Dashboard" sheetId="2" state="visible" r:id="rId2"/>
    <sheet xmlns:r="http://schemas.openxmlformats.org/officeDocument/2006/relationships" name="Strategy Rules" sheetId="3" state="visible" r:id="rId3"/>
    <sheet xmlns:r="http://schemas.openxmlformats.org/officeDocument/2006/relationships" name="Daily Trade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₹#,##0;(₹#,##0);&quot;-&quot;"/>
    <numFmt numFmtId="166" formatCode="₹#,##0"/>
    <numFmt numFmtId="167" formatCode="DD-MMM-YY"/>
    <numFmt numFmtId="168" formatCode="yyyy-mm-dd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444444"/>
      <sz val="10"/>
    </font>
    <font>
      <name val="Arial"/>
      <b val="1"/>
      <sz val="11"/>
    </font>
    <font>
      <name val="Arial"/>
      <b val="1"/>
      <color rgb="00444444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1A1A1A"/>
      <sz val="10"/>
    </font>
    <font>
      <name val="Arial"/>
      <i val="1"/>
      <color rgb="00999999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25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EEF2F7"/>
        <bgColor rgb="00EEF2F7"/>
      </patternFill>
    </fill>
    <fill>
      <patternFill patternType="solid">
        <fgColor rgb="002E86AB"/>
        <bgColor rgb="002E86AB"/>
      </patternFill>
    </fill>
    <fill>
      <patternFill patternType="solid">
        <fgColor rgb="00FFFFFF"/>
        <bgColor rgb="00FFFFFF"/>
      </patternFill>
    </fill>
    <fill>
      <patternFill patternType="solid">
        <fgColor rgb="00F0F4F8"/>
        <bgColor rgb="00F0F4F8"/>
      </patternFill>
    </fill>
    <fill>
      <patternFill patternType="solid">
        <fgColor rgb="00F8F9FA"/>
        <bgColor rgb="00F8F9FA"/>
      </patternFill>
    </fill>
    <fill>
      <patternFill patternType="solid">
        <fgColor rgb="0034495E"/>
        <bgColor rgb="0034495E"/>
      </patternFill>
    </fill>
    <fill>
      <patternFill patternType="solid">
        <fgColor rgb="00FFF3CD"/>
        <bgColor rgb="00FFF3CD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FDECEA"/>
        <bgColor rgb="00FDECEA"/>
      </patternFill>
    </fill>
    <fill>
      <patternFill patternType="solid">
        <fgColor rgb="002980B9"/>
        <bgColor rgb="002980B9"/>
      </patternFill>
    </fill>
    <fill>
      <patternFill patternType="solid">
        <fgColor rgb="00EAF6FF"/>
        <bgColor rgb="00EAF6FF"/>
      </patternFill>
    </fill>
    <fill>
      <patternFill patternType="solid">
        <fgColor rgb="00C0392B"/>
        <bgColor rgb="00C0392B"/>
      </patternFill>
    </fill>
    <fill>
      <patternFill patternType="solid">
        <fgColor rgb="00196F3D"/>
        <bgColor rgb="00196F3D"/>
      </patternFill>
    </fill>
    <fill>
      <patternFill patternType="solid">
        <fgColor rgb="006C3483"/>
        <bgColor rgb="006C3483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18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5" fillId="19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4" fillId="20" borderId="6" applyAlignment="1" pivotButton="0" quotePrefix="0" xfId="0">
      <alignment horizontal="center" vertical="center" wrapText="1"/>
    </xf>
    <xf numFmtId="0" fontId="16" fillId="21" borderId="6" applyAlignment="1" pivotButton="0" quotePrefix="0" xfId="0">
      <alignment horizontal="center" vertical="center"/>
    </xf>
    <xf numFmtId="164" fontId="16" fillId="21" borderId="6" applyAlignment="1" pivotButton="0" quotePrefix="0" xfId="0">
      <alignment horizontal="center" vertical="center"/>
    </xf>
    <xf numFmtId="166" fontId="16" fillId="21" borderId="6" applyAlignment="1" pivotButton="0" quotePrefix="0" xfId="0">
      <alignment horizontal="center" vertical="center"/>
    </xf>
    <xf numFmtId="0" fontId="14" fillId="22" borderId="6" applyAlignment="1" pivotButton="0" quotePrefix="0" xfId="0">
      <alignment horizontal="center" vertical="center" wrapText="1"/>
    </xf>
    <xf numFmtId="0" fontId="16" fillId="23" borderId="6" applyAlignment="1" pivotButton="0" quotePrefix="0" xfId="0">
      <alignment horizontal="center" vertical="center"/>
    </xf>
    <xf numFmtId="164" fontId="16" fillId="23" borderId="6" applyAlignment="1" pivotButton="0" quotePrefix="0" xfId="0">
      <alignment horizontal="center" vertical="center"/>
    </xf>
    <xf numFmtId="166" fontId="16" fillId="23" borderId="6" applyAlignment="1" pivotButton="0" quotePrefix="0" xfId="0">
      <alignment horizontal="center" vertical="center"/>
    </xf>
    <xf numFmtId="0" fontId="14" fillId="19" borderId="6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7" fontId="4" fillId="5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6" customWidth="1" min="12" max="12"/>
    <col width="11" customWidth="1" min="13" max="13"/>
    <col width="10" customWidth="1" min="14" max="14"/>
    <col width="8" customWidth="1" min="15" max="15"/>
    <col width="14" customWidth="1" min="16" max="16"/>
    <col width="10" customWidth="1" min="17" max="17"/>
    <col width="38" customWidth="1" min="18" max="18"/>
  </cols>
  <sheetData>
    <row r="1" ht="32" customHeight="1">
      <c r="A1" s="1" t="inlineStr">
        <is>
          <t>NIFTY 50 OPTIONS — TRADE JOURNAL</t>
        </is>
      </c>
    </row>
    <row r="2" ht="18" customHeight="1">
      <c r="A2" s="2" t="inlineStr">
        <is>
          <t>Strategy: 21 EMA (15min / 1H / Daily) + RSI Filter + S&amp;R Rejection + OI Confirmation</t>
        </is>
      </c>
    </row>
    <row r="3" ht="6" customHeight="1"/>
    <row r="4" ht="36" customHeight="1">
      <c r="A4" s="3" t="inlineStr">
        <is>
          <t>Date</t>
        </is>
      </c>
      <c r="B4" s="38" t="inlineStr">
        <is>
          <t>Strategy</t>
        </is>
      </c>
      <c r="C4" s="3" t="inlineStr">
        <is>
          <t>Day</t>
        </is>
      </c>
      <c r="D4" s="3" t="inlineStr">
        <is>
          <t>Time
Entry</t>
        </is>
      </c>
      <c r="E4" s="3" t="inlineStr">
        <is>
          <t>Expiry</t>
        </is>
      </c>
      <c r="F4" s="3" t="inlineStr">
        <is>
          <t>Trade
Type</t>
        </is>
      </c>
      <c r="G4" s="3" t="inlineStr">
        <is>
          <t>Strike</t>
        </is>
      </c>
      <c r="H4" s="3" t="inlineStr">
        <is>
          <t>Entry
Price ₹</t>
        </is>
      </c>
      <c r="I4" s="3" t="inlineStr">
        <is>
          <t>Exit
Price ₹</t>
        </is>
      </c>
      <c r="J4" s="3" t="inlineStr">
        <is>
          <t>Stop
Loss ₹</t>
        </is>
      </c>
      <c r="K4" s="3" t="inlineStr">
        <is>
          <t>Target
1 ₹</t>
        </is>
      </c>
      <c r="L4" s="3" t="inlineStr">
        <is>
          <t>Target
2 ₹</t>
        </is>
      </c>
      <c r="M4" s="3" t="inlineStr">
        <is>
          <t>Lots</t>
        </is>
      </c>
      <c r="N4" s="3" t="inlineStr">
        <is>
          <t>P&amp;L ₹</t>
        </is>
      </c>
      <c r="O4" s="3" t="inlineStr">
        <is>
          <t>Result</t>
        </is>
      </c>
      <c r="P4" s="3" t="inlineStr">
        <is>
          <t>R:R
Achieved</t>
        </is>
      </c>
      <c r="Q4" s="3" t="inlineStr">
        <is>
          <t>Filters
Followed</t>
        </is>
      </c>
      <c r="R4" s="3" t="inlineStr">
        <is>
          <t>Market
Bias</t>
        </is>
      </c>
      <c r="S4" s="3" t="inlineStr">
        <is>
          <t>Notes / Lessons</t>
        </is>
      </c>
    </row>
    <row r="5">
      <c r="A5" s="60" t="n">
        <v>46154</v>
      </c>
      <c r="B5" s="56" t="inlineStr">
        <is>
          <t>Intraday</t>
        </is>
      </c>
      <c r="C5" s="57" t="inlineStr">
        <is>
          <t>Tuesday</t>
        </is>
      </c>
      <c r="D5" s="57" t="inlineStr">
        <is>
          <t>10:10</t>
        </is>
      </c>
      <c r="E5" s="57" t="inlineStr">
        <is>
          <t>Weekly</t>
        </is>
      </c>
      <c r="F5" s="57" t="inlineStr">
        <is>
          <t>Put Sell</t>
        </is>
      </c>
      <c r="G5" s="57" t="inlineStr">
        <is>
          <t>23800 PE</t>
        </is>
      </c>
      <c r="H5" s="57" t="n">
        <v>160.15</v>
      </c>
      <c r="I5" s="57" t="n">
        <v>171.25</v>
      </c>
      <c r="J5" s="57" t="n">
        <v>190</v>
      </c>
      <c r="K5" s="57" t="n">
        <v>161.25</v>
      </c>
      <c r="L5" s="57" t="n"/>
      <c r="M5" s="57" t="n">
        <v>1</v>
      </c>
      <c r="N5" s="57">
        <f>(I5-H5)*M5*65</f>
        <v/>
      </c>
      <c r="O5" s="58" t="inlineStr">
        <is>
          <t>Profit</t>
        </is>
      </c>
      <c r="P5" s="57">
        <f>IFERROR((I5-H5)/(H5-J5),"—")</f>
        <v/>
      </c>
      <c r="Q5" s="57" t="inlineStr">
        <is>
          <t>Yes</t>
        </is>
      </c>
      <c r="R5" s="57" t="inlineStr">
        <is>
          <t>Bullish</t>
        </is>
      </c>
      <c r="S5" s="59" t="inlineStr">
        <is>
          <t>Reversal trade at 23800 retest. Booked early at ~10 pts. RSI oversold bounce + theta decay on expiry day.</t>
        </is>
      </c>
    </row>
    <row r="6">
      <c r="A6" s="61" t="n">
        <v>46155</v>
      </c>
      <c r="B6" s="62" t="inlineStr">
        <is>
          <t>Swing</t>
        </is>
      </c>
      <c r="C6" s="63" t="inlineStr">
        <is>
          <t>Wednesday</t>
        </is>
      </c>
      <c r="D6" s="63" t="inlineStr">
        <is>
          <t>12:02</t>
        </is>
      </c>
      <c r="E6" s="63" t="inlineStr">
        <is>
          <t>Monthly</t>
        </is>
      </c>
      <c r="F6" s="63" t="inlineStr">
        <is>
          <t>PE Buy</t>
        </is>
      </c>
      <c r="G6" s="63" t="inlineStr">
        <is>
          <t>24000 PE</t>
        </is>
      </c>
      <c r="H6" s="63" t="n">
        <v>618.9</v>
      </c>
      <c r="I6" s="63" t="n">
        <v>0</v>
      </c>
      <c r="J6" s="63" t="n">
        <v>570</v>
      </c>
      <c r="K6" s="63" t="n">
        <v>783</v>
      </c>
      <c r="L6" s="63" t="n">
        <v>1044</v>
      </c>
      <c r="M6" s="63" t="n">
        <v>1</v>
      </c>
      <c r="N6" s="63">
        <f>(I6-H6)*M6*25</f>
        <v/>
      </c>
      <c r="O6" s="64" t="inlineStr">
        <is>
          <t>Open</t>
        </is>
      </c>
      <c r="P6" s="63">
        <f>IFERROR((I6-H6)/(H6-J6),"—")</f>
        <v/>
      </c>
      <c r="Q6" s="63" t="inlineStr">
        <is>
          <t>Yes</t>
        </is>
      </c>
      <c r="R6" s="63" t="inlineStr">
        <is>
          <t>Bearish</t>
        </is>
      </c>
      <c r="S6" s="65" t="inlineStr">
        <is>
          <t>Deep ITM monthly PE swing. All 3 HTF bearish. Entry near 23500 ATM. Holding overnight. Grade B setup.</t>
        </is>
      </c>
    </row>
    <row r="7">
      <c r="A7" s="4" t="n"/>
      <c r="B7" s="39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>
        <f>(H7-G7)*L7*65</f>
        <v/>
      </c>
      <c r="O7" s="4" t="n"/>
      <c r="P7" s="4">
        <f>IFERROR((H7-G7)/(G7-I7),"—")</f>
        <v/>
      </c>
      <c r="Q7" s="4" t="n"/>
      <c r="R7" s="4" t="n"/>
      <c r="S7" s="5" t="n"/>
    </row>
    <row r="8">
      <c r="A8" s="6" t="n"/>
      <c r="B8" s="39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>
        <f>(H8-G8)*L8*65</f>
        <v/>
      </c>
      <c r="O8" s="6" t="n"/>
      <c r="P8" s="6">
        <f>IFERROR((H8-G8)/(G8-I8),"—")</f>
        <v/>
      </c>
      <c r="Q8" s="6" t="n"/>
      <c r="R8" s="6" t="n"/>
      <c r="S8" s="7" t="n"/>
    </row>
    <row r="9">
      <c r="A9" s="4" t="n"/>
      <c r="B9" s="39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>
        <f>(H9-G9)*L9*65</f>
        <v/>
      </c>
      <c r="O9" s="4" t="n"/>
      <c r="P9" s="4">
        <f>IFERROR((H9-G9)/(G9-I9),"—")</f>
        <v/>
      </c>
      <c r="Q9" s="4" t="n"/>
      <c r="R9" s="4" t="n"/>
      <c r="S9" s="5" t="n"/>
    </row>
    <row r="10">
      <c r="A10" s="6" t="n"/>
      <c r="B10" s="39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>
        <f>(H10-G10)*L10*65</f>
        <v/>
      </c>
      <c r="O10" s="6" t="n"/>
      <c r="P10" s="6">
        <f>IFERROR((H10-G10)/(G10-I10),"—")</f>
        <v/>
      </c>
      <c r="Q10" s="6" t="n"/>
      <c r="R10" s="6" t="n"/>
      <c r="S10" s="7" t="n"/>
    </row>
    <row r="11">
      <c r="A11" s="4" t="n"/>
      <c r="B11" s="39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>
        <f>(H11-G11)*L11*65</f>
        <v/>
      </c>
      <c r="O11" s="4" t="n"/>
      <c r="P11" s="4">
        <f>IFERROR((H11-G11)/(G11-I11),"—")</f>
        <v/>
      </c>
      <c r="Q11" s="4" t="n"/>
      <c r="R11" s="4" t="n"/>
      <c r="S11" s="5" t="n"/>
    </row>
    <row r="12">
      <c r="A12" s="6" t="n"/>
      <c r="B12" s="39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>
        <f>(H12-G12)*L12*65</f>
        <v/>
      </c>
      <c r="O12" s="6" t="n"/>
      <c r="P12" s="6">
        <f>IFERROR((H12-G12)/(G12-I12),"—")</f>
        <v/>
      </c>
      <c r="Q12" s="6" t="n"/>
      <c r="R12" s="6" t="n"/>
      <c r="S12" s="7" t="n"/>
    </row>
    <row r="13">
      <c r="A13" s="4" t="n"/>
      <c r="B13" s="39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>
        <f>(H13-G13)*L13*65</f>
        <v/>
      </c>
      <c r="O13" s="4" t="n"/>
      <c r="P13" s="4">
        <f>IFERROR((H13-G13)/(G13-I13),"—")</f>
        <v/>
      </c>
      <c r="Q13" s="4" t="n"/>
      <c r="R13" s="4" t="n"/>
      <c r="S13" s="5" t="n"/>
    </row>
    <row r="14">
      <c r="A14" s="6" t="n"/>
      <c r="B14" s="39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>
        <f>(H14-G14)*L14*65</f>
        <v/>
      </c>
      <c r="O14" s="6" t="n"/>
      <c r="P14" s="6">
        <f>IFERROR((H14-G14)/(G14-I14),"—")</f>
        <v/>
      </c>
      <c r="Q14" s="6" t="n"/>
      <c r="R14" s="6" t="n"/>
      <c r="S14" s="7" t="n"/>
    </row>
    <row r="15">
      <c r="A15" s="4" t="n"/>
      <c r="B15" s="39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>
        <f>(H15-G15)*L15*65</f>
        <v/>
      </c>
      <c r="O15" s="4" t="n"/>
      <c r="P15" s="4">
        <f>IFERROR((H15-G15)/(G15-I15),"—")</f>
        <v/>
      </c>
      <c r="Q15" s="4" t="n"/>
      <c r="R15" s="4" t="n"/>
      <c r="S15" s="5" t="n"/>
    </row>
    <row r="16">
      <c r="A16" s="6" t="n"/>
      <c r="B16" s="39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>
        <f>(H16-G16)*L16*65</f>
        <v/>
      </c>
      <c r="O16" s="6" t="n"/>
      <c r="P16" s="6">
        <f>IFERROR((H16-G16)/(G16-I16),"—")</f>
        <v/>
      </c>
      <c r="Q16" s="6" t="n"/>
      <c r="R16" s="6" t="n"/>
      <c r="S16" s="7" t="n"/>
    </row>
    <row r="17">
      <c r="A17" s="4" t="n"/>
      <c r="B17" s="39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>
        <f>(H17-G17)*L17*65</f>
        <v/>
      </c>
      <c r="O17" s="4" t="n"/>
      <c r="P17" s="4">
        <f>IFERROR((H17-G17)/(G17-I17),"—")</f>
        <v/>
      </c>
      <c r="Q17" s="4" t="n"/>
      <c r="R17" s="4" t="n"/>
      <c r="S17" s="5" t="n"/>
    </row>
    <row r="18">
      <c r="A18" s="6" t="n"/>
      <c r="B18" s="39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>
        <f>(H18-G18)*L18*65</f>
        <v/>
      </c>
      <c r="O18" s="6" t="n"/>
      <c r="P18" s="6">
        <f>IFERROR((H18-G18)/(G18-I18),"—")</f>
        <v/>
      </c>
      <c r="Q18" s="6" t="n"/>
      <c r="R18" s="6" t="n"/>
      <c r="S18" s="7" t="n"/>
    </row>
    <row r="19">
      <c r="A19" s="4" t="n"/>
      <c r="B19" s="39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>
        <f>(H19-G19)*L19*65</f>
        <v/>
      </c>
      <c r="O19" s="4" t="n"/>
      <c r="P19" s="4">
        <f>IFERROR((H19-G19)/(G19-I19),"—")</f>
        <v/>
      </c>
      <c r="Q19" s="4" t="n"/>
      <c r="R19" s="4" t="n"/>
      <c r="S19" s="5" t="n"/>
    </row>
    <row r="20">
      <c r="A20" s="6" t="n"/>
      <c r="B20" s="39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>
        <f>(H20-G20)*L20*65</f>
        <v/>
      </c>
      <c r="O20" s="6" t="n"/>
      <c r="P20" s="6">
        <f>IFERROR((H20-G20)/(G20-I20),"—")</f>
        <v/>
      </c>
      <c r="Q20" s="6" t="n"/>
      <c r="R20" s="6" t="n"/>
      <c r="S20" s="7" t="n"/>
    </row>
    <row r="21">
      <c r="A21" s="4" t="n"/>
      <c r="B21" s="39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>
        <f>(H21-G21)*L21*65</f>
        <v/>
      </c>
      <c r="O21" s="4" t="n"/>
      <c r="P21" s="4">
        <f>IFERROR((H21-G21)/(G21-I21),"—")</f>
        <v/>
      </c>
      <c r="Q21" s="4" t="n"/>
      <c r="R21" s="4" t="n"/>
      <c r="S21" s="5" t="n"/>
    </row>
    <row r="22">
      <c r="A22" s="6" t="n"/>
      <c r="B22" s="39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>
        <f>(H22-G22)*L22*65</f>
        <v/>
      </c>
      <c r="O22" s="6" t="n"/>
      <c r="P22" s="6">
        <f>IFERROR((H22-G22)/(G22-I22),"—")</f>
        <v/>
      </c>
      <c r="Q22" s="6" t="n"/>
      <c r="R22" s="6" t="n"/>
      <c r="S22" s="7" t="n"/>
    </row>
    <row r="23">
      <c r="A23" s="4" t="n"/>
      <c r="B23" s="39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>
        <f>(H23-G23)*L23*65</f>
        <v/>
      </c>
      <c r="O23" s="4" t="n"/>
      <c r="P23" s="4">
        <f>IFERROR((H23-G23)/(G23-I23),"—")</f>
        <v/>
      </c>
      <c r="Q23" s="4" t="n"/>
      <c r="R23" s="4" t="n"/>
      <c r="S23" s="5" t="n"/>
    </row>
    <row r="24">
      <c r="A24" s="6" t="n"/>
      <c r="B24" s="39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>
        <f>(H24-G24)*L24*65</f>
        <v/>
      </c>
      <c r="O24" s="6" t="n"/>
      <c r="P24" s="6">
        <f>IFERROR((H24-G24)/(G24-I24),"—")</f>
        <v/>
      </c>
      <c r="Q24" s="6" t="n"/>
      <c r="R24" s="6" t="n"/>
      <c r="S24" s="7" t="n"/>
    </row>
    <row r="25">
      <c r="A25" s="4" t="n"/>
      <c r="B25" s="39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>
        <f>(H25-G25)*L25*65</f>
        <v/>
      </c>
      <c r="O25" s="4" t="n"/>
      <c r="P25" s="4">
        <f>IFERROR((H25-G25)/(G25-I25),"—")</f>
        <v/>
      </c>
      <c r="Q25" s="4" t="n"/>
      <c r="R25" s="4" t="n"/>
      <c r="S25" s="5" t="n"/>
    </row>
    <row r="26">
      <c r="A26" s="6" t="n"/>
      <c r="B26" s="39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>
        <f>(H26-G26)*L26*65</f>
        <v/>
      </c>
      <c r="O26" s="6" t="n"/>
      <c r="P26" s="6">
        <f>IFERROR((H26-G26)/(G26-I26),"—")</f>
        <v/>
      </c>
      <c r="Q26" s="6" t="n"/>
      <c r="R26" s="6" t="n"/>
      <c r="S26" s="7" t="n"/>
    </row>
    <row r="27">
      <c r="A27" s="4" t="n"/>
      <c r="B27" s="39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>
        <f>(H27-G27)*L27*65</f>
        <v/>
      </c>
      <c r="O27" s="4" t="n"/>
      <c r="P27" s="4">
        <f>IFERROR((H27-G27)/(G27-I27),"—")</f>
        <v/>
      </c>
      <c r="Q27" s="4" t="n"/>
      <c r="R27" s="4" t="n"/>
      <c r="S27" s="5" t="n"/>
    </row>
    <row r="28">
      <c r="A28" s="6" t="n"/>
      <c r="B28" s="39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>
        <f>(H28-G28)*L28*65</f>
        <v/>
      </c>
      <c r="O28" s="6" t="n"/>
      <c r="P28" s="6">
        <f>IFERROR((H28-G28)/(G28-I28),"—")</f>
        <v/>
      </c>
      <c r="Q28" s="6" t="n"/>
      <c r="R28" s="6" t="n"/>
      <c r="S28" s="7" t="n"/>
    </row>
    <row r="29">
      <c r="A29" s="4" t="n"/>
      <c r="B29" s="39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>
        <f>(H29-G29)*L29*65</f>
        <v/>
      </c>
      <c r="O29" s="4" t="n"/>
      <c r="P29" s="4">
        <f>IFERROR((H29-G29)/(G29-I29),"—")</f>
        <v/>
      </c>
      <c r="Q29" s="4" t="n"/>
      <c r="R29" s="4" t="n"/>
      <c r="S29" s="5" t="n"/>
    </row>
    <row r="30">
      <c r="A30" s="6" t="n"/>
      <c r="B30" s="39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>
        <f>(H30-G30)*L30*65</f>
        <v/>
      </c>
      <c r="O30" s="6" t="n"/>
      <c r="P30" s="6">
        <f>IFERROR((H30-G30)/(G30-I30),"—")</f>
        <v/>
      </c>
      <c r="Q30" s="6" t="n"/>
      <c r="R30" s="6" t="n"/>
      <c r="S30" s="7" t="n"/>
    </row>
    <row r="31">
      <c r="A31" s="4" t="n"/>
      <c r="B31" s="39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>
        <f>(H31-G31)*L31*65</f>
        <v/>
      </c>
      <c r="O31" s="4" t="n"/>
      <c r="P31" s="4">
        <f>IFERROR((H31-G31)/(G31-I31),"—")</f>
        <v/>
      </c>
      <c r="Q31" s="4" t="n"/>
      <c r="R31" s="4" t="n"/>
      <c r="S31" s="5" t="n"/>
    </row>
    <row r="32">
      <c r="A32" s="6" t="n"/>
      <c r="B32" s="39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>
        <f>(H32-G32)*L32*65</f>
        <v/>
      </c>
      <c r="O32" s="6" t="n"/>
      <c r="P32" s="6">
        <f>IFERROR((H32-G32)/(G32-I32),"—")</f>
        <v/>
      </c>
      <c r="Q32" s="6" t="n"/>
      <c r="R32" s="6" t="n"/>
      <c r="S32" s="7" t="n"/>
    </row>
    <row r="33">
      <c r="A33" s="4" t="n"/>
      <c r="B33" s="39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>
        <f>(H33-G33)*L33*65</f>
        <v/>
      </c>
      <c r="O33" s="4" t="n"/>
      <c r="P33" s="4">
        <f>IFERROR((H33-G33)/(G33-I33),"—")</f>
        <v/>
      </c>
      <c r="Q33" s="4" t="n"/>
      <c r="R33" s="4" t="n"/>
      <c r="S33" s="5" t="n"/>
    </row>
    <row r="34">
      <c r="A34" s="6" t="n"/>
      <c r="B34" s="39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>
        <f>(H34-G34)*L34*65</f>
        <v/>
      </c>
      <c r="O34" s="6" t="n"/>
      <c r="P34" s="6">
        <f>IFERROR((H34-G34)/(G34-I34),"—")</f>
        <v/>
      </c>
      <c r="Q34" s="6" t="n"/>
      <c r="R34" s="6" t="n"/>
      <c r="S34" s="7" t="n"/>
    </row>
    <row r="35">
      <c r="A35" s="4" t="n"/>
      <c r="B35" s="39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>
        <f>(H35-G35)*L35*65</f>
        <v/>
      </c>
      <c r="O35" s="4" t="n"/>
      <c r="P35" s="4">
        <f>IFERROR((H35-G35)/(G35-I35),"—")</f>
        <v/>
      </c>
      <c r="Q35" s="4" t="n"/>
      <c r="R35" s="4" t="n"/>
      <c r="S35" s="5" t="n"/>
    </row>
    <row r="36">
      <c r="A36" s="6" t="n"/>
      <c r="B36" s="39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>
        <f>(H36-G36)*L36*65</f>
        <v/>
      </c>
      <c r="O36" s="6" t="n"/>
      <c r="P36" s="6">
        <f>IFERROR((H36-G36)/(G36-I36),"—")</f>
        <v/>
      </c>
      <c r="Q36" s="6" t="n"/>
      <c r="R36" s="6" t="n"/>
      <c r="S36" s="7" t="n"/>
    </row>
    <row r="37">
      <c r="A37" s="4" t="n"/>
      <c r="B37" s="39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>
        <f>(H37-G37)*L37*65</f>
        <v/>
      </c>
      <c r="O37" s="4" t="n"/>
      <c r="P37" s="4">
        <f>IFERROR((H37-G37)/(G37-I37),"—")</f>
        <v/>
      </c>
      <c r="Q37" s="4" t="n"/>
      <c r="R37" s="4" t="n"/>
      <c r="S37" s="5" t="n"/>
    </row>
    <row r="38">
      <c r="A38" s="6" t="n"/>
      <c r="B38" s="39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>
        <f>(H38-G38)*L38*65</f>
        <v/>
      </c>
      <c r="O38" s="6" t="n"/>
      <c r="P38" s="6">
        <f>IFERROR((H38-G38)/(G38-I38),"—")</f>
        <v/>
      </c>
      <c r="Q38" s="6" t="n"/>
      <c r="R38" s="6" t="n"/>
      <c r="S38" s="7" t="n"/>
    </row>
    <row r="39">
      <c r="A39" s="4" t="n"/>
      <c r="B39" s="39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>
        <f>(H39-G39)*L39*65</f>
        <v/>
      </c>
      <c r="O39" s="4" t="n"/>
      <c r="P39" s="4">
        <f>IFERROR((H39-G39)/(G39-I39),"—")</f>
        <v/>
      </c>
      <c r="Q39" s="4" t="n"/>
      <c r="R39" s="4" t="n"/>
      <c r="S39" s="5" t="n"/>
    </row>
    <row r="40">
      <c r="A40" s="6" t="n"/>
      <c r="B40" s="39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>
        <f>(H40-G40)*L40*65</f>
        <v/>
      </c>
      <c r="O40" s="6" t="n"/>
      <c r="P40" s="6">
        <f>IFERROR((H40-G40)/(G40-I40),"—")</f>
        <v/>
      </c>
      <c r="Q40" s="6" t="n"/>
      <c r="R40" s="6" t="n"/>
      <c r="S40" s="7" t="n"/>
    </row>
    <row r="41">
      <c r="A41" s="4" t="n"/>
      <c r="B41" s="39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>
        <f>(H41-G41)*L41*65</f>
        <v/>
      </c>
      <c r="O41" s="4" t="n"/>
      <c r="P41" s="4">
        <f>IFERROR((H41-G41)/(G41-I41),"—")</f>
        <v/>
      </c>
      <c r="Q41" s="4" t="n"/>
      <c r="R41" s="4" t="n"/>
      <c r="S41" s="5" t="n"/>
    </row>
    <row r="42">
      <c r="A42" s="6" t="n"/>
      <c r="B42" s="39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>
        <f>(H42-G42)*L42*65</f>
        <v/>
      </c>
      <c r="O42" s="6" t="n"/>
      <c r="P42" s="6">
        <f>IFERROR((H42-G42)/(G42-I42),"—")</f>
        <v/>
      </c>
      <c r="Q42" s="6" t="n"/>
      <c r="R42" s="6" t="n"/>
      <c r="S42" s="7" t="n"/>
    </row>
    <row r="43">
      <c r="A43" s="4" t="n"/>
      <c r="B43" s="39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>
        <f>(H43-G43)*L43*65</f>
        <v/>
      </c>
      <c r="O43" s="4" t="n"/>
      <c r="P43" s="4">
        <f>IFERROR((H43-G43)/(G43-I43),"—")</f>
        <v/>
      </c>
      <c r="Q43" s="4" t="n"/>
      <c r="R43" s="4" t="n"/>
      <c r="S43" s="5" t="n"/>
    </row>
    <row r="44">
      <c r="A44" s="6" t="n"/>
      <c r="B44" s="39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>
        <f>(H44-G44)*L44*65</f>
        <v/>
      </c>
      <c r="O44" s="6" t="n"/>
      <c r="P44" s="6">
        <f>IFERROR((H44-G44)/(G44-I44),"—")</f>
        <v/>
      </c>
      <c r="Q44" s="6" t="n"/>
      <c r="R44" s="6" t="n"/>
      <c r="S44" s="7" t="n"/>
    </row>
    <row r="45">
      <c r="A45" s="4" t="n"/>
      <c r="B45" s="39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>
        <f>(H45-G45)*L45*65</f>
        <v/>
      </c>
      <c r="O45" s="4" t="n"/>
      <c r="P45" s="4">
        <f>IFERROR((H45-G45)/(G45-I45),"—")</f>
        <v/>
      </c>
      <c r="Q45" s="4" t="n"/>
      <c r="R45" s="4" t="n"/>
      <c r="S45" s="5" t="n"/>
    </row>
    <row r="46">
      <c r="A46" s="6" t="n"/>
      <c r="B46" s="39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>
        <f>(H46-G46)*L46*65</f>
        <v/>
      </c>
      <c r="O46" s="6" t="n"/>
      <c r="P46" s="6">
        <f>IFERROR((H46-G46)/(G46-I46),"—")</f>
        <v/>
      </c>
      <c r="Q46" s="6" t="n"/>
      <c r="R46" s="6" t="n"/>
      <c r="S46" s="7" t="n"/>
    </row>
    <row r="47">
      <c r="A47" s="4" t="n"/>
      <c r="B47" s="39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>
        <f>(H47-G47)*L47*65</f>
        <v/>
      </c>
      <c r="O47" s="4" t="n"/>
      <c r="P47" s="4">
        <f>IFERROR((H47-G47)/(G47-I47),"—")</f>
        <v/>
      </c>
      <c r="Q47" s="4" t="n"/>
      <c r="R47" s="4" t="n"/>
      <c r="S47" s="5" t="n"/>
    </row>
    <row r="48">
      <c r="A48" s="6" t="n"/>
      <c r="B48" s="39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>
        <f>(H48-G48)*L48*65</f>
        <v/>
      </c>
      <c r="O48" s="6" t="n"/>
      <c r="P48" s="6">
        <f>IFERROR((H48-G48)/(G48-I48),"—")</f>
        <v/>
      </c>
      <c r="Q48" s="6" t="n"/>
      <c r="R48" s="6" t="n"/>
      <c r="S48" s="7" t="n"/>
    </row>
    <row r="49">
      <c r="A49" s="4" t="n"/>
      <c r="B49" s="39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>
        <f>(H49-G49)*L49*65</f>
        <v/>
      </c>
      <c r="O49" s="4" t="n"/>
      <c r="P49" s="4">
        <f>IFERROR((H49-G49)/(G49-I49),"—")</f>
        <v/>
      </c>
      <c r="Q49" s="4" t="n"/>
      <c r="R49" s="4" t="n"/>
      <c r="S49" s="5" t="n"/>
    </row>
    <row r="50">
      <c r="A50" s="6" t="n"/>
      <c r="B50" s="39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>
        <f>(H50-G50)*L50*65</f>
        <v/>
      </c>
      <c r="O50" s="6" t="n"/>
      <c r="P50" s="6">
        <f>IFERROR((H50-G50)/(G50-I50),"—")</f>
        <v/>
      </c>
      <c r="Q50" s="6" t="n"/>
      <c r="R50" s="6" t="n"/>
      <c r="S50" s="7" t="n"/>
    </row>
    <row r="51">
      <c r="A51" s="4" t="n"/>
      <c r="B51" s="39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>
        <f>(H51-G51)*L51*65</f>
        <v/>
      </c>
      <c r="O51" s="4" t="n"/>
      <c r="P51" s="4">
        <f>IFERROR((H51-G51)/(G51-I51),"—")</f>
        <v/>
      </c>
      <c r="Q51" s="4" t="n"/>
      <c r="R51" s="4" t="n"/>
      <c r="S51" s="5" t="n"/>
    </row>
    <row r="52">
      <c r="A52" s="6" t="n"/>
      <c r="B52" s="39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>
        <f>(H52-G52)*L52*65</f>
        <v/>
      </c>
      <c r="O52" s="6" t="n"/>
      <c r="P52" s="6">
        <f>IFERROR((H52-G52)/(G52-I52),"—")</f>
        <v/>
      </c>
      <c r="Q52" s="6" t="n"/>
      <c r="R52" s="6" t="n"/>
      <c r="S52" s="7" t="n"/>
    </row>
    <row r="53">
      <c r="A53" s="4" t="n"/>
      <c r="B53" s="39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>
        <f>(H53-G53)*L53*65</f>
        <v/>
      </c>
      <c r="O53" s="4" t="n"/>
      <c r="P53" s="4">
        <f>IFERROR((H53-G53)/(G53-I53),"—")</f>
        <v/>
      </c>
      <c r="Q53" s="4" t="n"/>
      <c r="R53" s="4" t="n"/>
      <c r="S53" s="5" t="n"/>
    </row>
    <row r="54">
      <c r="A54" s="6" t="n"/>
      <c r="B54" s="39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>
        <f>(H54-G54)*L54*65</f>
        <v/>
      </c>
      <c r="O54" s="6" t="n"/>
      <c r="P54" s="6">
        <f>IFERROR((H54-G54)/(G54-I54),"—")</f>
        <v/>
      </c>
      <c r="Q54" s="6" t="n"/>
      <c r="R54" s="6" t="n"/>
      <c r="S54" s="7" t="n"/>
    </row>
  </sheetData>
  <mergeCells count="2">
    <mergeCell ref="A2:R2"/>
    <mergeCell ref="A1:R1"/>
  </mergeCells>
  <conditionalFormatting sqref="N5:N54">
    <cfRule type="cellIs" priority="1" operator="equal" dxfId="0">
      <formula>"Profit"</formula>
    </cfRule>
    <cfRule type="cellIs" priority="2" operator="equal" dxfId="1">
      <formula>"Loss"</formula>
    </cfRule>
    <cfRule type="cellIs" priority="3" operator="equal" dxfId="2">
      <formula>"Breakeven"</formula>
    </cfRule>
  </conditionalFormatting>
  <conditionalFormatting sqref="M5:M54">
    <cfRule type="colorScale" priority="4">
      <colorScale>
        <cfvo type="min"/>
        <cfvo type="num" val="0"/>
        <cfvo type="max"/>
        <color rgb="00F8D7DA"/>
        <color rgb="00FFFFFF"/>
        <color rgb="00D4EDDA"/>
      </colorScale>
    </cfRule>
  </conditionalFormatting>
  <dataValidations count="6">
    <dataValidation sqref="E5:E54" showDropDown="0" showInputMessage="0" showErrorMessage="0" allowBlank="1" type="list">
      <formula1>"PE Buy,CE Buy,Put Sell,Call Sell"</formula1>
    </dataValidation>
    <dataValidation sqref="N5:N54" showDropDown="0" showInputMessage="0" showErrorMessage="0" allowBlank="1" type="list">
      <formula1>"Profit,Loss,Breakeven,Open"</formula1>
    </dataValidation>
    <dataValidation sqref="P5:P54" showDropDown="0" showInputMessage="0" showErrorMessage="0" allowBlank="1" type="list">
      <formula1>"All Filters,No EMA Confirm,Entered at S&amp;R,RSI Extreme,Ignored OI"</formula1>
    </dataValidation>
    <dataValidation sqref="Q5:Q54" showDropDown="0" showInputMessage="0" showErrorMessage="0" allowBlank="1" type="list">
      <formula1>"Bullish,Bearish,Sideways"</formula1>
    </dataValidation>
    <dataValidation sqref="B5:B54" showDropDown="0" showInputMessage="0" showErrorMessage="0" allowBlank="1" type="list">
      <formula1>"Mon,Tue,Wed,Thu,Fri"</formula1>
    </dataValidation>
    <dataValidation sqref="B5:B54" showDropDown="0" showInputMessage="0" showErrorMessage="0" allowBlank="1" type="list">
      <formula1>"Intraday,Swing"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5" customWidth="1" min="4" max="4"/>
    <col width="5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PERFORMANCE DASHBOARD</t>
        </is>
      </c>
    </row>
    <row r="3" ht="22" customHeight="1">
      <c r="A3" s="8" t="inlineStr">
        <is>
          <t>OVERALL STATS</t>
        </is>
      </c>
      <c r="F3" s="8" t="inlineStr">
        <is>
          <t>WIN / LOSS SPLIT</t>
        </is>
      </c>
    </row>
    <row r="4">
      <c r="A4" s="9" t="inlineStr">
        <is>
          <t>Total Trades</t>
        </is>
      </c>
      <c r="B4" s="10">
        <f>COUNTA('Trade Journal'!A5:A54)</f>
        <v/>
      </c>
      <c r="F4" s="11" t="inlineStr">
        <is>
          <t>By Trade Type</t>
        </is>
      </c>
    </row>
    <row r="5">
      <c r="A5" s="9" t="inlineStr">
        <is>
          <t>Winning Trades</t>
        </is>
      </c>
      <c r="B5" s="10">
        <f>COUNTIF('Trade Journal'!O5:O54,"Profit")</f>
        <v/>
      </c>
      <c r="F5" s="12" t="inlineStr">
        <is>
          <t>Type</t>
        </is>
      </c>
      <c r="G5" s="12" t="inlineStr">
        <is>
          <t>Total</t>
        </is>
      </c>
      <c r="H5" s="12" t="inlineStr">
        <is>
          <t>Wins</t>
        </is>
      </c>
      <c r="I5" s="12" t="inlineStr">
        <is>
          <t>Losses</t>
        </is>
      </c>
      <c r="J5" s="12" t="inlineStr">
        <is>
          <t>Win %</t>
        </is>
      </c>
    </row>
    <row r="6">
      <c r="A6" s="9" t="inlineStr">
        <is>
          <t>Losing Trades</t>
        </is>
      </c>
      <c r="B6" s="10">
        <f>COUNTIF('Trade Journal'!O5:O54,"Loss")</f>
        <v/>
      </c>
      <c r="F6" s="4" t="inlineStr">
        <is>
          <t>PE Buy</t>
        </is>
      </c>
      <c r="G6" s="4">
        <f>COUNTIF('Trade Journal'!F5:F54,"PE Buy")</f>
        <v/>
      </c>
      <c r="H6" s="4">
        <f>COUNTIFS('Trade Journal'!F5:F54,"PE Buy",'Trade Journal'!O5:O54,"Profit")</f>
        <v/>
      </c>
      <c r="I6" s="4">
        <f>COUNTIFS('Trade Journal'!F5:F54,"PE Buy",'Trade Journal'!O5:O54,"Loss")</f>
        <v/>
      </c>
      <c r="J6" s="13">
        <f>IFERROR(H6/G6,0)</f>
        <v/>
      </c>
    </row>
    <row r="7">
      <c r="A7" s="9" t="inlineStr">
        <is>
          <t>Breakeven</t>
        </is>
      </c>
      <c r="B7" s="10">
        <f>COUNTIF('Trade Journal'!O5:O54,"Breakeven")</f>
        <v/>
      </c>
      <c r="F7" s="6" t="inlineStr">
        <is>
          <t>CE Buy</t>
        </is>
      </c>
      <c r="G7" s="6">
        <f>COUNTIF('Trade Journal'!F5:F54,"CE Buy")</f>
        <v/>
      </c>
      <c r="H7" s="6">
        <f>COUNTIFS('Trade Journal'!F5:F54,"CE Buy",'Trade Journal'!O5:O54,"Profit")</f>
        <v/>
      </c>
      <c r="I7" s="6">
        <f>COUNTIFS('Trade Journal'!F5:F54,"CE Buy",'Trade Journal'!O5:O54,"Loss")</f>
        <v/>
      </c>
      <c r="J7" s="14">
        <f>IFERROR(H7/G7,0)</f>
        <v/>
      </c>
    </row>
    <row r="8">
      <c r="A8" s="9" t="inlineStr">
        <is>
          <t>Win Rate</t>
        </is>
      </c>
      <c r="B8" s="15">
        <f>IFERROR(B5/B4,0)</f>
        <v/>
      </c>
      <c r="F8" s="4" t="inlineStr">
        <is>
          <t>Put Sell</t>
        </is>
      </c>
      <c r="G8" s="4">
        <f>COUNTIF('Trade Journal'!F5:F54,"Put Sell")</f>
        <v/>
      </c>
      <c r="H8" s="4">
        <f>COUNTIFS('Trade Journal'!F5:F54,"Put Sell",'Trade Journal'!O5:O54,"Profit")</f>
        <v/>
      </c>
      <c r="I8" s="4">
        <f>COUNTIFS('Trade Journal'!F5:F54,"Put Sell",'Trade Journal'!O5:O54,"Loss")</f>
        <v/>
      </c>
      <c r="J8" s="13">
        <f>IFERROR(H8/G8,0)</f>
        <v/>
      </c>
    </row>
    <row r="9">
      <c r="A9" s="9" t="inlineStr">
        <is>
          <t>Total P&amp;L ₹</t>
        </is>
      </c>
      <c r="B9" s="16">
        <f>SUM('Trade Journal'!N5:N54)</f>
        <v/>
      </c>
      <c r="F9" s="6" t="inlineStr">
        <is>
          <t>Call Sell</t>
        </is>
      </c>
      <c r="G9" s="6">
        <f>COUNTIF('Trade Journal'!F5:F54,"Call Sell")</f>
        <v/>
      </c>
      <c r="H9" s="6">
        <f>COUNTIFS('Trade Journal'!F5:F54,"Call Sell",'Trade Journal'!O5:O54,"Profit")</f>
        <v/>
      </c>
      <c r="I9" s="6">
        <f>COUNTIFS('Trade Journal'!F5:F54,"Call Sell",'Trade Journal'!O5:O54,"Loss")</f>
        <v/>
      </c>
      <c r="J9" s="14">
        <f>IFERROR(H9/G9,0)</f>
        <v/>
      </c>
    </row>
    <row r="10">
      <c r="A10" s="9" t="inlineStr">
        <is>
          <t>Avg Win ₹</t>
        </is>
      </c>
      <c r="B10" s="16">
        <f>IFERROR(AVERAGEIF('Trade Journal'!O5:O54,"Profit",'Trade Journal'!N5:N54),0)</f>
        <v/>
      </c>
    </row>
    <row r="11">
      <c r="A11" s="9" t="inlineStr">
        <is>
          <t>Avg Loss ₹</t>
        </is>
      </c>
      <c r="B11" s="16">
        <f>IFERROR(AVERAGEIF('Trade Journal'!O5:O54,"Loss",'Trade Journal'!N5:N54),0)</f>
        <v/>
      </c>
      <c r="F11" s="8" t="inlineStr">
        <is>
          <t>MONTHLY P&amp;L SUMMARY</t>
        </is>
      </c>
    </row>
    <row r="12">
      <c r="A12" s="9" t="inlineStr">
        <is>
          <t>Best Trade ₹</t>
        </is>
      </c>
      <c r="B12" s="16">
        <f>IFERROR(MAX('Trade Journal'!N5:N54),0)</f>
        <v/>
      </c>
      <c r="F12" s="6" t="inlineStr">
        <is>
          <t>Jan</t>
        </is>
      </c>
      <c r="G12" s="17">
        <f>SUMPRODUCT((MONTH('Trade Journal'!A5:A54)=1)*('Trade Journal'!N5:N54))</f>
        <v/>
      </c>
    </row>
    <row r="13">
      <c r="A13" s="9" t="inlineStr">
        <is>
          <t>Worst Trade ₹</t>
        </is>
      </c>
      <c r="B13" s="16">
        <f>IFERROR(MIN('Trade Journal'!N5:N54),0)</f>
        <v/>
      </c>
      <c r="F13" s="4" t="inlineStr">
        <is>
          <t>Feb</t>
        </is>
      </c>
      <c r="G13" s="18">
        <f>SUMPRODUCT((MONTH('Trade Journal'!A5:A54)=2)*('Trade Journal'!N5:N54))</f>
        <v/>
      </c>
    </row>
    <row r="14">
      <c r="F14" s="6" t="inlineStr">
        <is>
          <t>Mar</t>
        </is>
      </c>
      <c r="G14" s="17">
        <f>SUMPRODUCT((MONTH('Trade Journal'!A5:A54)=3)*('Trade Journal'!N5:N54))</f>
        <v/>
      </c>
    </row>
    <row r="15" ht="22" customHeight="1">
      <c r="A15" s="8" t="inlineStr">
        <is>
          <t>MISTAKE TRACKER</t>
        </is>
      </c>
      <c r="F15" s="4" t="inlineStr">
        <is>
          <t>Apr</t>
        </is>
      </c>
      <c r="G15" s="18">
        <f>SUMPRODUCT((MONTH('Trade Journal'!A5:A54)=4)*('Trade Journal'!N5:N54))</f>
        <v/>
      </c>
    </row>
    <row r="16">
      <c r="A16" s="19" t="inlineStr">
        <is>
          <t>No EMA Confirm</t>
        </is>
      </c>
      <c r="B16" s="20">
        <f>COUNTIF('Trade Journal'!Q5:Q54,"No EMA Confirm")</f>
        <v/>
      </c>
      <c r="C16" s="21" t="n"/>
      <c r="D16" s="21" t="n"/>
      <c r="F16" s="6" t="inlineStr">
        <is>
          <t>May</t>
        </is>
      </c>
      <c r="G16" s="17">
        <f>SUMPRODUCT((MONTH('Trade Journal'!A5:A54)=5)*('Trade Journal'!N5:N54))</f>
        <v/>
      </c>
    </row>
    <row r="17">
      <c r="A17" s="5" t="inlineStr">
        <is>
          <t>Entered at S&amp;R</t>
        </is>
      </c>
      <c r="B17" s="22">
        <f>COUNTIF('Trade Journal'!Q5:Q54,"Entered at S&amp;R")</f>
        <v/>
      </c>
      <c r="C17" s="23" t="n"/>
      <c r="D17" s="23" t="n"/>
      <c r="F17" s="4" t="inlineStr">
        <is>
          <t>Jun</t>
        </is>
      </c>
      <c r="G17" s="18">
        <f>SUMPRODUCT((MONTH('Trade Journal'!A5:A54)=6)*('Trade Journal'!N5:N54))</f>
        <v/>
      </c>
    </row>
    <row r="18">
      <c r="A18" s="19" t="inlineStr">
        <is>
          <t>RSI Extreme</t>
        </is>
      </c>
      <c r="B18" s="20">
        <f>COUNTIF('Trade Journal'!Q5:Q54,"RSI Extreme")</f>
        <v/>
      </c>
      <c r="C18" s="21" t="n"/>
      <c r="D18" s="21" t="n"/>
      <c r="F18" s="6" t="inlineStr">
        <is>
          <t>Jul</t>
        </is>
      </c>
      <c r="G18" s="17">
        <f>SUMPRODUCT((MONTH('Trade Journal'!A5:A54)=7)*('Trade Journal'!N5:N54))</f>
        <v/>
      </c>
    </row>
    <row r="19">
      <c r="A19" s="5" t="inlineStr">
        <is>
          <t>Ignored OI</t>
        </is>
      </c>
      <c r="B19" s="22">
        <f>COUNTIF('Trade Journal'!Q5:Q54,"Ignored OI")</f>
        <v/>
      </c>
      <c r="C19" s="23" t="n"/>
      <c r="D19" s="23" t="n"/>
      <c r="F19" s="4" t="inlineStr">
        <is>
          <t>Aug</t>
        </is>
      </c>
      <c r="G19" s="18">
        <f>SUMPRODUCT((MONTH('Trade Journal'!A5:A54)=8)*('Trade Journal'!N5:N54))</f>
        <v/>
      </c>
    </row>
    <row r="20">
      <c r="F20" s="6" t="inlineStr">
        <is>
          <t>Sep</t>
        </is>
      </c>
      <c r="G20" s="17">
        <f>SUMPRODUCT((MONTH('Trade Journal'!A5:A54)=9)*('Trade Journal'!N5:N54))</f>
        <v/>
      </c>
    </row>
    <row r="21">
      <c r="F21" s="4" t="inlineStr">
        <is>
          <t>Oct</t>
        </is>
      </c>
      <c r="G21" s="18">
        <f>SUMPRODUCT((MONTH('Trade Journal'!A5:A54)=10)*('Trade Journal'!N5:N54))</f>
        <v/>
      </c>
    </row>
    <row r="22">
      <c r="F22" s="6" t="inlineStr">
        <is>
          <t>Nov</t>
        </is>
      </c>
      <c r="G22" s="17">
        <f>SUMPRODUCT((MONTH('Trade Journal'!A5:A54)=11)*('Trade Journal'!N5:N54))</f>
        <v/>
      </c>
    </row>
    <row r="23">
      <c r="F23" s="4" t="inlineStr">
        <is>
          <t>Dec</t>
        </is>
      </c>
      <c r="G23" s="18">
        <f>SUMPRODUCT((MONTH('Trade Journal'!A5:A54)=12)*('Trade Journal'!N5:N54))</f>
        <v/>
      </c>
    </row>
    <row r="26" ht="22" customHeight="1">
      <c r="A26" s="40" t="inlineStr">
        <is>
          <t>STRATEGY COMPARISON — Intraday vs Swing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2" t="n"/>
    </row>
    <row r="27" ht="30" customHeight="1">
      <c r="A27" s="38" t="inlineStr">
        <is>
          <t>Strategy</t>
        </is>
      </c>
      <c r="B27" s="38" t="inlineStr">
        <is>
          <t>Total
Trades</t>
        </is>
      </c>
      <c r="C27" s="38" t="inlineStr">
        <is>
          <t>Wins</t>
        </is>
      </c>
      <c r="D27" s="38" t="inlineStr">
        <is>
          <t>Losses</t>
        </is>
      </c>
      <c r="E27" s="38" t="inlineStr">
        <is>
          <t>Win %</t>
        </is>
      </c>
      <c r="F27" s="38" t="inlineStr">
        <is>
          <t>Total P&amp;L ₹</t>
        </is>
      </c>
      <c r="G27" s="38" t="inlineStr">
        <is>
          <t>Avg Win ₹</t>
        </is>
      </c>
      <c r="H27" s="38" t="inlineStr">
        <is>
          <t>Avg Loss ₹</t>
        </is>
      </c>
      <c r="I27" s="38" t="inlineStr">
        <is>
          <t>Best Trade ₹</t>
        </is>
      </c>
      <c r="J27" s="38" t="inlineStr">
        <is>
          <t>Worst Trade ₹</t>
        </is>
      </c>
    </row>
    <row r="28">
      <c r="A28" s="43" t="inlineStr">
        <is>
          <t>📊 Intraday</t>
        </is>
      </c>
      <c r="B28" s="44">
        <f>COUNTIF('Trade Journal'!B5:B54,"Intraday")</f>
        <v/>
      </c>
      <c r="C28" s="44">
        <f>COUNTIFS('Trade Journal'!B5:B54,"Intraday",'Trade Journal'!O5:O54,"Profit")</f>
        <v/>
      </c>
      <c r="D28" s="44">
        <f>COUNTIFS('Trade Journal'!B5:B54,"Intraday",'Trade Journal'!O5:O54,"Loss")</f>
        <v/>
      </c>
      <c r="E28" s="45">
        <f>IFERROR(C28/B28,0)</f>
        <v/>
      </c>
      <c r="F28" s="46">
        <f>SUMIF('Trade Journal'!B5:B54,"Intraday",'Trade Journal'!N5:N54)</f>
        <v/>
      </c>
      <c r="G28" s="46">
        <f>IFERROR(AVERAGEIFS('Trade Journal'!N5:N54,'Trade Journal'!B5:B54,"Intraday",'Trade Journal'!O5:O54,"Profit"),0)</f>
        <v/>
      </c>
      <c r="H28" s="46">
        <f>IFERROR(AVERAGEIFS('Trade Journal'!N5:N54,'Trade Journal'!B5:B54,"Intraday",'Trade Journal'!O5:O54,"Loss"),0)</f>
        <v/>
      </c>
      <c r="I28" s="46">
        <f>IFERROR(MAXIFS('Trade Journal'!N5:N54,'Trade Journal'!B5:B54,"Intraday"),0)</f>
        <v/>
      </c>
      <c r="J28" s="46">
        <f>IFERROR(MINIFS('Trade Journal'!N5:N54,'Trade Journal'!B5:B54,"Intraday"),0)</f>
        <v/>
      </c>
    </row>
    <row r="29">
      <c r="A29" s="47" t="inlineStr">
        <is>
          <t>📈 Swing</t>
        </is>
      </c>
      <c r="B29" s="48">
        <f>COUNTIF('Trade Journal'!B5:B54,"Swing")</f>
        <v/>
      </c>
      <c r="C29" s="48">
        <f>COUNTIFS('Trade Journal'!B5:B54,"Swing",'Trade Journal'!O5:O54,"Profit")</f>
        <v/>
      </c>
      <c r="D29" s="48">
        <f>COUNTIFS('Trade Journal'!B5:B54,"Swing",'Trade Journal'!O5:O54,"Loss")</f>
        <v/>
      </c>
      <c r="E29" s="49">
        <f>IFERROR(C29/B29,0)</f>
        <v/>
      </c>
      <c r="F29" s="50">
        <f>SUMIF('Trade Journal'!B5:B54,"Swing",'Trade Journal'!N5:N54)</f>
        <v/>
      </c>
      <c r="G29" s="50">
        <f>IFERROR(AVERAGEIFS('Trade Journal'!N5:N54,'Trade Journal'!B5:B54,"Swing",'Trade Journal'!O5:O54,"Profit"),0)</f>
        <v/>
      </c>
      <c r="H29" s="50">
        <f>IFERROR(AVERAGEIFS('Trade Journal'!N5:N54,'Trade Journal'!B5:B54,"Swing",'Trade Journal'!O5:O54,"Loss"),0)</f>
        <v/>
      </c>
      <c r="I29" s="50">
        <f>IFERROR(MAXIFS('Trade Journal'!N5:N54,'Trade Journal'!B5:B54,"Swing"),0)</f>
        <v/>
      </c>
      <c r="J29" s="50">
        <f>IFERROR(MINIFS('Trade Journal'!N5:N54,'Trade Journal'!B5:B54,"Swing"),0)</f>
        <v/>
      </c>
    </row>
    <row r="31" ht="22" customHeight="1">
      <c r="A31" s="51" t="inlineStr">
        <is>
          <t>🏆 Better Strategy</t>
        </is>
      </c>
      <c r="B31" s="52">
        <f>IF(B28=0,"No Intraday trades yet",IF(B29=0,"No Swing trades yet",IF(E28&gt;E29,"📊 Intraday leads — Win Rate: "&amp;TEXT(E28,"0%")&amp;" vs "&amp;TEXT(E29,"0%"),"📈 Swing leads — Win Rate: "&amp;TEXT(E29,"0%")&amp;" vs "&amp;TEXT(E28,"0%"))))</f>
        <v/>
      </c>
      <c r="C31" s="41" t="n"/>
      <c r="D31" s="41" t="n"/>
      <c r="E31" s="41" t="n"/>
      <c r="F31" s="41" t="n"/>
      <c r="G31" s="41" t="n"/>
      <c r="H31" s="41" t="n"/>
      <c r="I31" s="41" t="n"/>
      <c r="J31" s="42" t="n"/>
    </row>
  </sheetData>
  <mergeCells count="8">
    <mergeCell ref="A1:J1"/>
    <mergeCell ref="F3:J3"/>
    <mergeCell ref="F11:J11"/>
    <mergeCell ref="A3:D3"/>
    <mergeCell ref="B31:J31"/>
    <mergeCell ref="A15:D15"/>
    <mergeCell ref="A26:J26"/>
    <mergeCell ref="F4:J4"/>
  </mergeCells>
  <conditionalFormatting sqref="B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12:G23">
    <cfRule type="colorScale" priority="3">
      <colorScale>
        <cfvo type="min"/>
        <cfvo type="num" val="0"/>
        <cfvo type="max"/>
        <color rgb="00F8D7DA"/>
        <color rgb="00FFFFFF"/>
        <color rgb="00D4EDD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 ht="30" customHeight="1">
      <c r="A1" s="24" t="inlineStr">
        <is>
          <t>NIFTY 50 OPTIONS — PERSONAL TRADING STRATEGY RULEBOOK</t>
        </is>
      </c>
    </row>
    <row r="3" ht="24" customHeight="1">
      <c r="A3" s="25" t="inlineStr">
        <is>
          <t>FILTER 1 — 21 EMA TREND (Primary)</t>
        </is>
      </c>
    </row>
    <row r="4" ht="20" customHeight="1">
      <c r="A4" s="26" t="inlineStr">
        <is>
          <t>1</t>
        </is>
      </c>
      <c r="B4" s="27" t="inlineStr">
        <is>
          <t>Check 15min chart first — price clearly above or below 21 EMA</t>
        </is>
      </c>
      <c r="C4" s="53" t="n"/>
      <c r="D4" s="53" t="n"/>
      <c r="E4" s="53" t="n"/>
      <c r="F4" s="54" t="n"/>
    </row>
    <row r="5" ht="20" customHeight="1">
      <c r="A5" s="26" t="inlineStr">
        <is>
          <t>2</t>
        </is>
      </c>
      <c r="B5" s="28" t="inlineStr">
        <is>
          <t>Confirm same direction on 1H chart (must agree with 15min)</t>
        </is>
      </c>
      <c r="C5" s="53" t="n"/>
      <c r="D5" s="53" t="n"/>
      <c r="E5" s="53" t="n"/>
      <c r="F5" s="54" t="n"/>
    </row>
    <row r="6" ht="20" customHeight="1">
      <c r="A6" s="26" t="inlineStr">
        <is>
          <t>3</t>
        </is>
      </c>
      <c r="B6" s="27" t="inlineStr">
        <is>
          <t>Confirm same direction on Daily chart (all 3 must align)</t>
        </is>
      </c>
      <c r="C6" s="53" t="n"/>
      <c r="D6" s="53" t="n"/>
      <c r="E6" s="53" t="n"/>
      <c r="F6" s="54" t="n"/>
    </row>
    <row r="7" ht="20" customHeight="1">
      <c r="A7" s="26" t="inlineStr">
        <is>
          <t>4</t>
        </is>
      </c>
      <c r="B7" s="28" t="inlineStr">
        <is>
          <t>All 3 EMA aligned BEARISH = only PE Buy or Call Sell</t>
        </is>
      </c>
      <c r="C7" s="53" t="n"/>
      <c r="D7" s="53" t="n"/>
      <c r="E7" s="53" t="n"/>
      <c r="F7" s="54" t="n"/>
    </row>
    <row r="8" ht="20" customHeight="1">
      <c r="A8" s="26" t="inlineStr">
        <is>
          <t>5</t>
        </is>
      </c>
      <c r="B8" s="27" t="inlineStr">
        <is>
          <t>All 3 EMA aligned BULLISH = only CE Buy or Put Sell</t>
        </is>
      </c>
      <c r="C8" s="53" t="n"/>
      <c r="D8" s="53" t="n"/>
      <c r="E8" s="53" t="n"/>
      <c r="F8" s="54" t="n"/>
    </row>
    <row r="9" ht="20" customHeight="1">
      <c r="A9" s="29" t="inlineStr">
        <is>
          <t>X</t>
        </is>
      </c>
      <c r="B9" s="30" t="inlineStr">
        <is>
          <t>If 3 timeframes conflict = NO TRADE</t>
        </is>
      </c>
      <c r="C9" s="53" t="n"/>
      <c r="D9" s="53" t="n"/>
      <c r="E9" s="53" t="n"/>
      <c r="F9" s="54" t="n"/>
    </row>
    <row r="11" ht="24" customHeight="1">
      <c r="A11" s="25" t="inlineStr">
        <is>
          <t>FILTER 2 — RSI ENTRY TIMING</t>
        </is>
      </c>
    </row>
    <row r="12" ht="20" customHeight="1">
      <c r="A12" s="26" t="inlineStr">
        <is>
          <t>1</t>
        </is>
      </c>
      <c r="B12" s="27" t="inlineStr">
        <is>
          <t>Check RSI on 5min and 15min before every entry</t>
        </is>
      </c>
      <c r="C12" s="53" t="n"/>
      <c r="D12" s="53" t="n"/>
      <c r="E12" s="53" t="n"/>
      <c r="F12" s="54" t="n"/>
    </row>
    <row r="13" ht="20" customHeight="1">
      <c r="A13" s="26" t="inlineStr">
        <is>
          <t>2</t>
        </is>
      </c>
      <c r="B13" s="28" t="inlineStr">
        <is>
          <t>RSI near or below 30 (oversold) = WAIT. Do not buy PE. Wait for RSI to recover above 35</t>
        </is>
      </c>
      <c r="C13" s="53" t="n"/>
      <c r="D13" s="53" t="n"/>
      <c r="E13" s="53" t="n"/>
      <c r="F13" s="54" t="n"/>
    </row>
    <row r="14" ht="20" customHeight="1">
      <c r="A14" s="26" t="inlineStr">
        <is>
          <t>3</t>
        </is>
      </c>
      <c r="B14" s="27" t="inlineStr">
        <is>
          <t>RSI near or above 70 (overbought) = WAIT. Do not buy CE. Wait for RSI to pull back below 65</t>
        </is>
      </c>
      <c r="C14" s="53" t="n"/>
      <c r="D14" s="53" t="n"/>
      <c r="E14" s="53" t="n"/>
      <c r="F14" s="54" t="n"/>
    </row>
    <row r="15" ht="20" customHeight="1">
      <c r="A15" s="26" t="inlineStr">
        <is>
          <t>4</t>
        </is>
      </c>
      <c r="B15" s="28" t="inlineStr">
        <is>
          <t>RSI between 40-60 = neutral zone — best entries happen when RSI is moving directionally</t>
        </is>
      </c>
      <c r="C15" s="53" t="n"/>
      <c r="D15" s="53" t="n"/>
      <c r="E15" s="53" t="n"/>
      <c r="F15" s="54" t="n"/>
    </row>
    <row r="16" ht="20" customHeight="1">
      <c r="A16" s="31" t="inlineStr">
        <is>
          <t>REVERSAL</t>
        </is>
      </c>
      <c r="B16" s="32" t="inlineStr">
        <is>
          <t>Price making lower low + RSI making higher low at support = Put Sell entry signal</t>
        </is>
      </c>
      <c r="C16" s="53" t="n"/>
      <c r="D16" s="53" t="n"/>
      <c r="E16" s="53" t="n"/>
      <c r="F16" s="54" t="n"/>
    </row>
    <row r="18" ht="24" customHeight="1">
      <c r="A18" s="25" t="inlineStr">
        <is>
          <t>FILTER 3 — SUPPORT AND RESISTANCE</t>
        </is>
      </c>
    </row>
    <row r="19" ht="20" customHeight="1">
      <c r="A19" s="26" t="inlineStr">
        <is>
          <t>1</t>
        </is>
      </c>
      <c r="B19" s="28" t="inlineStr">
        <is>
          <t>Mark key S&amp;R levels before market open using OI data and previous session levels</t>
        </is>
      </c>
      <c r="C19" s="53" t="n"/>
      <c r="D19" s="53" t="n"/>
      <c r="E19" s="53" t="n"/>
      <c r="F19" s="54" t="n"/>
    </row>
    <row r="20" ht="20" customHeight="1">
      <c r="A20" s="26" t="inlineStr">
        <is>
          <t>2</t>
        </is>
      </c>
      <c r="B20" s="27" t="inlineStr">
        <is>
          <t>NEVER enter when price is sitting at S&amp;R — wait for breakout or rejection</t>
        </is>
      </c>
      <c r="C20" s="53" t="n"/>
      <c r="D20" s="53" t="n"/>
      <c r="E20" s="53" t="n"/>
      <c r="F20" s="54" t="n"/>
    </row>
    <row r="21" ht="20" customHeight="1">
      <c r="A21" s="26" t="inlineStr">
        <is>
          <t>3</t>
        </is>
      </c>
      <c r="B21" s="28" t="inlineStr">
        <is>
          <t>Rejection candle at resistance + EMA bearish = PE Buy entry</t>
        </is>
      </c>
      <c r="C21" s="53" t="n"/>
      <c r="D21" s="53" t="n"/>
      <c r="E21" s="53" t="n"/>
      <c r="F21" s="54" t="n"/>
    </row>
    <row r="22" ht="20" customHeight="1">
      <c r="A22" s="26" t="inlineStr">
        <is>
          <t>4</t>
        </is>
      </c>
      <c r="B22" s="27" t="inlineStr">
        <is>
          <t>Bounce + RSI divergence at support = Put Sell entry</t>
        </is>
      </c>
      <c r="C22" s="53" t="n"/>
      <c r="D22" s="53" t="n"/>
      <c r="E22" s="53" t="n"/>
      <c r="F22" s="54" t="n"/>
    </row>
    <row r="23" ht="20" customHeight="1">
      <c r="A23" s="26" t="inlineStr">
        <is>
          <t>5</t>
        </is>
      </c>
      <c r="B23" s="28" t="inlineStr">
        <is>
          <t>If price tested support 2-3 times = stronger bounce signal</t>
        </is>
      </c>
      <c r="C23" s="53" t="n"/>
      <c r="D23" s="53" t="n"/>
      <c r="E23" s="53" t="n"/>
      <c r="F23" s="54" t="n"/>
    </row>
    <row r="24" ht="20" customHeight="1">
      <c r="A24" s="29" t="inlineStr">
        <is>
          <t>X</t>
        </is>
      </c>
      <c r="B24" s="30" t="inlineStr">
        <is>
          <t>Price mid-range between S&amp;R = NO TRADE ZONE</t>
        </is>
      </c>
      <c r="C24" s="53" t="n"/>
      <c r="D24" s="53" t="n"/>
      <c r="E24" s="53" t="n"/>
      <c r="F24" s="54" t="n"/>
    </row>
    <row r="26" ht="24" customHeight="1">
      <c r="A26" s="25" t="inlineStr">
        <is>
          <t>FILTER 4 — OI CONFIRMATION</t>
        </is>
      </c>
    </row>
    <row r="27" ht="20" customHeight="1">
      <c r="A27" s="26" t="inlineStr">
        <is>
          <t>1</t>
        </is>
      </c>
      <c r="B27" s="28" t="inlineStr">
        <is>
          <t>Check Sensibull OI data. Max Call OI strike = ceiling resistance</t>
        </is>
      </c>
      <c r="C27" s="53" t="n"/>
      <c r="D27" s="53" t="n"/>
      <c r="E27" s="53" t="n"/>
      <c r="F27" s="54" t="n"/>
    </row>
    <row r="28" ht="20" customHeight="1">
      <c r="A28" s="26" t="inlineStr">
        <is>
          <t>2</t>
        </is>
      </c>
      <c r="B28" s="27" t="inlineStr">
        <is>
          <t>Max Put OI strike = floor support. Never hold options against these walls</t>
        </is>
      </c>
      <c r="C28" s="53" t="n"/>
      <c r="D28" s="53" t="n"/>
      <c r="E28" s="53" t="n"/>
      <c r="F28" s="54" t="n"/>
    </row>
    <row r="29" ht="20" customHeight="1">
      <c r="A29" s="26" t="inlineStr">
        <is>
          <t>3</t>
        </is>
      </c>
      <c r="B29" s="28" t="inlineStr">
        <is>
          <t>PCR below 0.8 = bearish bias. PCR above 1.2 = bullish bias</t>
        </is>
      </c>
      <c r="C29" s="53" t="n"/>
      <c r="D29" s="53" t="n"/>
      <c r="E29" s="53" t="n"/>
      <c r="F29" s="54" t="n"/>
    </row>
    <row r="30" ht="20" customHeight="1">
      <c r="A30" s="26" t="inlineStr">
        <is>
          <t>4</t>
        </is>
      </c>
      <c r="B30" s="27" t="inlineStr">
        <is>
          <t>VIX rising sharply above 20 = avoid selling premium. High risk of loss</t>
        </is>
      </c>
      <c r="C30" s="53" t="n"/>
      <c r="D30" s="53" t="n"/>
      <c r="E30" s="53" t="n"/>
      <c r="F30" s="54" t="n"/>
    </row>
    <row r="31" ht="20" customHeight="1">
      <c r="A31" s="26" t="inlineStr">
        <is>
          <t>5</t>
        </is>
      </c>
      <c r="B31" s="28" t="inlineStr">
        <is>
          <t>OI must confirm chart direction. If they conflict = skip trade</t>
        </is>
      </c>
      <c r="C31" s="53" t="n"/>
      <c r="D31" s="53" t="n"/>
      <c r="E31" s="53" t="n"/>
      <c r="F31" s="54" t="n"/>
    </row>
    <row r="33" ht="24" customHeight="1">
      <c r="A33" s="33" t="inlineStr">
        <is>
          <t>RISK MANAGEMENT RULES</t>
        </is>
      </c>
    </row>
    <row r="34" ht="20" customHeight="1">
      <c r="A34" s="26" t="inlineStr">
        <is>
          <t>1</t>
        </is>
      </c>
      <c r="B34" s="27" t="inlineStr">
        <is>
          <t>Minimum 1:2 Risk:Reward on every single trade — no exceptions</t>
        </is>
      </c>
      <c r="C34" s="53" t="n"/>
      <c r="D34" s="53" t="n"/>
      <c r="E34" s="53" t="n"/>
      <c r="F34" s="54" t="n"/>
    </row>
    <row r="35" ht="20" customHeight="1">
      <c r="A35" s="26" t="inlineStr">
        <is>
          <t>2</t>
        </is>
      </c>
      <c r="B35" s="28" t="inlineStr">
        <is>
          <t>Book 60% of position at Target 1. Trail SL to entry for balance</t>
        </is>
      </c>
      <c r="C35" s="53" t="n"/>
      <c r="D35" s="53" t="n"/>
      <c r="E35" s="53" t="n"/>
      <c r="F35" s="54" t="n"/>
    </row>
    <row r="36" ht="20" customHeight="1">
      <c r="A36" s="26" t="inlineStr">
        <is>
          <t>3</t>
        </is>
      </c>
      <c r="B36" s="27" t="inlineStr">
        <is>
          <t>Max 2 losing trades per day. If hit, stop trading immediately</t>
        </is>
      </c>
      <c r="C36" s="53" t="n"/>
      <c r="D36" s="53" t="n"/>
      <c r="E36" s="53" t="n"/>
      <c r="F36" s="54" t="n"/>
    </row>
    <row r="37" ht="20" customHeight="1">
      <c r="A37" s="26" t="inlineStr">
        <is>
          <t>4</t>
        </is>
      </c>
      <c r="B37" s="28" t="inlineStr">
        <is>
          <t>Never average a losing options position — exit at SL, reassess fresh</t>
        </is>
      </c>
      <c r="C37" s="53" t="n"/>
      <c r="D37" s="53" t="n"/>
      <c r="E37" s="53" t="n"/>
      <c r="F37" s="54" t="n"/>
    </row>
    <row r="38" ht="20" customHeight="1">
      <c r="A38" s="26" t="inlineStr">
        <is>
          <t>5</t>
        </is>
      </c>
      <c r="B38" s="27" t="inlineStr">
        <is>
          <t>Book profits before major S&amp;R levels. Never hold hoping for more</t>
        </is>
      </c>
      <c r="C38" s="53" t="n"/>
      <c r="D38" s="53" t="n"/>
      <c r="E38" s="53" t="n"/>
      <c r="F38" s="54" t="n"/>
    </row>
    <row r="39" ht="20" customHeight="1">
      <c r="A39" s="26" t="inlineStr">
        <is>
          <t>6</t>
        </is>
      </c>
      <c r="B39" s="28" t="inlineStr">
        <is>
          <t>1 lot only unless confidence is very high and setup is perfect</t>
        </is>
      </c>
      <c r="C39" s="53" t="n"/>
      <c r="D39" s="53" t="n"/>
      <c r="E39" s="53" t="n"/>
      <c r="F39" s="54" t="n"/>
    </row>
    <row r="41" ht="24" customHeight="1">
      <c r="A41" s="34" t="inlineStr">
        <is>
          <t>REVERSAL STRATEGY — PUT SELL AT SUPPORT</t>
        </is>
      </c>
    </row>
    <row r="42" ht="20" customHeight="1">
      <c r="A42" s="31" t="inlineStr">
        <is>
          <t>Setup</t>
        </is>
      </c>
      <c r="B42" s="27" t="inlineStr">
        <is>
          <t>Price at 23,800 or 23,900 support. Tested 2+ times already</t>
        </is>
      </c>
      <c r="C42" s="53" t="n"/>
      <c r="D42" s="53" t="n"/>
      <c r="E42" s="53" t="n"/>
      <c r="F42" s="54" t="n"/>
    </row>
    <row r="43" ht="20" customHeight="1">
      <c r="A43" s="31" t="inlineStr">
        <is>
          <t>Signal</t>
        </is>
      </c>
      <c r="B43" s="28" t="inlineStr">
        <is>
          <t>Price going down slowly (not crash). 5min RSI starts turning UP while price still flat/down</t>
        </is>
      </c>
      <c r="C43" s="53" t="n"/>
      <c r="D43" s="53" t="n"/>
      <c r="E43" s="53" t="n"/>
      <c r="F43" s="54" t="n"/>
    </row>
    <row r="44" ht="20" customHeight="1">
      <c r="A44" s="31" t="inlineStr">
        <is>
          <t>Entry</t>
        </is>
      </c>
      <c r="B44" s="27" t="inlineStr">
        <is>
          <t>Sell 23,850 PE or 23,750 PE after RSI curl confirmed on 5min</t>
        </is>
      </c>
      <c r="C44" s="53" t="n"/>
      <c r="D44" s="53" t="n"/>
      <c r="E44" s="53" t="n"/>
      <c r="F44" s="54" t="n"/>
    </row>
    <row r="45" ht="20" customHeight="1">
      <c r="A45" s="31" t="inlineStr">
        <is>
          <t>SL</t>
        </is>
      </c>
      <c r="B45" s="28" t="inlineStr">
        <is>
          <t>Nifty spot breaks support level on closing basis (15min candle close)</t>
        </is>
      </c>
      <c r="C45" s="53" t="n"/>
      <c r="D45" s="53" t="n"/>
      <c r="E45" s="53" t="n"/>
      <c r="F45" s="54" t="n"/>
    </row>
    <row r="46" ht="20" customHeight="1">
      <c r="A46" s="31" t="inlineStr">
        <is>
          <t>Target</t>
        </is>
      </c>
      <c r="B46" s="27" t="inlineStr">
        <is>
          <t>40-50% premium decay. Exit before VIX spikes or next session</t>
        </is>
      </c>
      <c r="C46" s="53" t="n"/>
      <c r="D46" s="53" t="n"/>
      <c r="E46" s="53" t="n"/>
      <c r="F46" s="54" t="n"/>
    </row>
    <row r="47" ht="20" customHeight="1">
      <c r="A47" s="31" t="inlineStr">
        <is>
          <t>Avoid</t>
        </is>
      </c>
      <c r="B47" s="28" t="inlineStr">
        <is>
          <t>Do NOT Put Sell if: VIX &gt; 20, price crashing with big red candle, RSI still falling</t>
        </is>
      </c>
      <c r="C47" s="53" t="n"/>
      <c r="D47" s="53" t="n"/>
      <c r="E47" s="53" t="n"/>
      <c r="F47" s="54" t="n"/>
    </row>
    <row r="49" ht="24" customHeight="1">
      <c r="A49" s="35" t="inlineStr">
        <is>
          <t>PRE-TRADE CHECKLIST</t>
        </is>
      </c>
    </row>
    <row r="50" ht="20" customHeight="1">
      <c r="A50" s="26" t="inlineStr">
        <is>
          <t>1</t>
        </is>
      </c>
      <c r="B50" s="27" t="inlineStr">
        <is>
          <t>All 3 EMA timeframes confirmed in same direction?</t>
        </is>
      </c>
      <c r="C50" s="53" t="n"/>
      <c r="D50" s="53" t="n"/>
      <c r="E50" s="53" t="n"/>
      <c r="F50" s="54" t="n"/>
    </row>
    <row r="51" ht="20" customHeight="1">
      <c r="A51" s="26" t="inlineStr">
        <is>
          <t>2</t>
        </is>
      </c>
      <c r="B51" s="28" t="inlineStr">
        <is>
          <t>5min RSI not at extreme (below 30 or above 70)?</t>
        </is>
      </c>
      <c r="C51" s="53" t="n"/>
      <c r="D51" s="53" t="n"/>
      <c r="E51" s="53" t="n"/>
      <c r="F51" s="54" t="n"/>
    </row>
    <row r="52" ht="20" customHeight="1">
      <c r="A52" s="26" t="inlineStr">
        <is>
          <t>3</t>
        </is>
      </c>
      <c r="B52" s="27" t="inlineStr">
        <is>
          <t>15min RSI confirming direction (above/below 50)?</t>
        </is>
      </c>
      <c r="C52" s="53" t="n"/>
      <c r="D52" s="53" t="n"/>
      <c r="E52" s="53" t="n"/>
      <c r="F52" s="54" t="n"/>
    </row>
    <row r="53" ht="20" customHeight="1">
      <c r="A53" s="26" t="inlineStr">
        <is>
          <t>4</t>
        </is>
      </c>
      <c r="B53" s="28" t="inlineStr">
        <is>
          <t>Price NOT sitting at S&amp;R level?</t>
        </is>
      </c>
      <c r="C53" s="53" t="n"/>
      <c r="D53" s="53" t="n"/>
      <c r="E53" s="53" t="n"/>
      <c r="F53" s="54" t="n"/>
    </row>
    <row r="54" ht="20" customHeight="1">
      <c r="A54" s="26" t="inlineStr">
        <is>
          <t>5</t>
        </is>
      </c>
      <c r="B54" s="27" t="inlineStr">
        <is>
          <t>Entry is on rejection or confirmed breakout — not mid-zone?</t>
        </is>
      </c>
      <c r="C54" s="53" t="n"/>
      <c r="D54" s="53" t="n"/>
      <c r="E54" s="53" t="n"/>
      <c r="F54" s="54" t="n"/>
    </row>
    <row r="55" ht="20" customHeight="1">
      <c r="A55" s="26" t="inlineStr">
        <is>
          <t>6</t>
        </is>
      </c>
      <c r="B55" s="28" t="inlineStr">
        <is>
          <t>PCR and OI confirms chart direction?</t>
        </is>
      </c>
      <c r="C55" s="53" t="n"/>
      <c r="D55" s="53" t="n"/>
      <c r="E55" s="53" t="n"/>
      <c r="F55" s="54" t="n"/>
    </row>
    <row r="56" ht="20" customHeight="1">
      <c r="A56" s="26" t="inlineStr">
        <is>
          <t>7</t>
        </is>
      </c>
      <c r="B56" s="27" t="inlineStr">
        <is>
          <t>VIX not spiking above 20 (if selling)?</t>
        </is>
      </c>
      <c r="C56" s="53" t="n"/>
      <c r="D56" s="53" t="n"/>
      <c r="E56" s="53" t="n"/>
      <c r="F56" s="54" t="n"/>
    </row>
    <row r="57" ht="20" customHeight="1">
      <c r="A57" s="26" t="inlineStr">
        <is>
          <t>8</t>
        </is>
      </c>
      <c r="B57" s="28" t="inlineStr">
        <is>
          <t>Risk:Reward is at least 1:2?</t>
        </is>
      </c>
      <c r="C57" s="53" t="n"/>
      <c r="D57" s="53" t="n"/>
      <c r="E57" s="53" t="n"/>
      <c r="F57" s="54" t="n"/>
    </row>
    <row r="58" ht="20" customHeight="1">
      <c r="A58" s="31" t="inlineStr">
        <is>
          <t>ALL</t>
        </is>
      </c>
      <c r="B58" s="32" t="inlineStr">
        <is>
          <t>If all 8 = YES → Take trade. Any NO → Wait or skip</t>
        </is>
      </c>
      <c r="C58" s="53" t="n"/>
      <c r="D58" s="53" t="n"/>
      <c r="E58" s="53" t="n"/>
      <c r="F58" s="54" t="n"/>
    </row>
  </sheetData>
  <mergeCells count="51">
    <mergeCell ref="B4:F4"/>
    <mergeCell ref="A41:F41"/>
    <mergeCell ref="B7:F7"/>
    <mergeCell ref="B47:F47"/>
    <mergeCell ref="B16:F16"/>
    <mergeCell ref="B54:F54"/>
    <mergeCell ref="B31:F31"/>
    <mergeCell ref="B46:F46"/>
    <mergeCell ref="A18:F18"/>
    <mergeCell ref="B22:F22"/>
    <mergeCell ref="A3:F3"/>
    <mergeCell ref="A26:F26"/>
    <mergeCell ref="B58:F58"/>
    <mergeCell ref="B56:F56"/>
    <mergeCell ref="B27:F27"/>
    <mergeCell ref="B52:F52"/>
    <mergeCell ref="B21:F21"/>
    <mergeCell ref="A33:F33"/>
    <mergeCell ref="B43:F43"/>
    <mergeCell ref="B12:F12"/>
    <mergeCell ref="B39:F39"/>
    <mergeCell ref="B42:F42"/>
    <mergeCell ref="B23:F23"/>
    <mergeCell ref="B14:F14"/>
    <mergeCell ref="B8:F8"/>
    <mergeCell ref="B13:F13"/>
    <mergeCell ref="B57:F57"/>
    <mergeCell ref="B44:F44"/>
    <mergeCell ref="B53:F53"/>
    <mergeCell ref="B29:F29"/>
    <mergeCell ref="B38:F38"/>
    <mergeCell ref="B34:F34"/>
    <mergeCell ref="B28:F28"/>
    <mergeCell ref="B19:F19"/>
    <mergeCell ref="B37:F37"/>
    <mergeCell ref="B9:F9"/>
    <mergeCell ref="B30:F30"/>
    <mergeCell ref="A11:F11"/>
    <mergeCell ref="A49:F49"/>
    <mergeCell ref="B55:F55"/>
    <mergeCell ref="B6:F6"/>
    <mergeCell ref="B24:F24"/>
    <mergeCell ref="B20:F20"/>
    <mergeCell ref="B15:F15"/>
    <mergeCell ref="A1:F1"/>
    <mergeCell ref="B5:F5"/>
    <mergeCell ref="B51:F51"/>
    <mergeCell ref="B45:F45"/>
    <mergeCell ref="B36:F36"/>
    <mergeCell ref="B50:F50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24" t="inlineStr">
        <is>
          <t>DAILY TRADE PLAN — NIFTY 50 OPTIONS</t>
        </is>
      </c>
    </row>
    <row r="3" ht="24" customHeight="1">
      <c r="A3" s="25" t="inlineStr">
        <is>
          <t>PRE-MARKET (Before 9:15 AM)</t>
        </is>
      </c>
    </row>
    <row r="4" ht="22" customHeight="1">
      <c r="A4" s="36" t="inlineStr">
        <is>
          <t>Date</t>
        </is>
      </c>
      <c r="B4" s="28" t="inlineStr"/>
      <c r="C4" s="53" t="n"/>
      <c r="D4" s="53" t="n"/>
      <c r="E4" s="53" t="n"/>
      <c r="F4" s="53" t="n"/>
      <c r="G4" s="54" t="n"/>
    </row>
    <row r="5" ht="22" customHeight="1">
      <c r="A5" s="36" t="inlineStr">
        <is>
          <t>GIFT Nifty</t>
        </is>
      </c>
      <c r="B5" s="28" t="inlineStr"/>
      <c r="C5" s="53" t="n"/>
      <c r="D5" s="53" t="n"/>
      <c r="E5" s="53" t="n"/>
      <c r="F5" s="53" t="n"/>
      <c r="G5" s="54" t="n"/>
    </row>
    <row r="6" ht="22" customHeight="1">
      <c r="A6" s="36" t="inlineStr">
        <is>
          <t>Global Cues</t>
        </is>
      </c>
      <c r="B6" s="37" t="inlineStr">
        <is>
          <t>Positive / Negative / Neutral</t>
        </is>
      </c>
      <c r="C6" s="53" t="n"/>
      <c r="D6" s="53" t="n"/>
      <c r="E6" s="53" t="n"/>
      <c r="F6" s="53" t="n"/>
      <c r="G6" s="54" t="n"/>
    </row>
    <row r="7" ht="22" customHeight="1">
      <c r="A7" s="36" t="inlineStr">
        <is>
          <t>India VIX</t>
        </is>
      </c>
      <c r="B7" s="28" t="inlineStr"/>
      <c r="C7" s="53" t="n"/>
      <c r="D7" s="53" t="n"/>
      <c r="E7" s="53" t="n"/>
      <c r="F7" s="53" t="n"/>
      <c r="G7" s="54" t="n"/>
    </row>
    <row r="8" ht="22" customHeight="1">
      <c r="A8" s="36" t="inlineStr">
        <is>
          <t>Previous Close</t>
        </is>
      </c>
      <c r="B8" s="28" t="inlineStr"/>
      <c r="C8" s="53" t="n"/>
      <c r="D8" s="53" t="n"/>
      <c r="E8" s="53" t="n"/>
      <c r="F8" s="53" t="n"/>
      <c r="G8" s="54" t="n"/>
    </row>
    <row r="9" ht="22" customHeight="1">
      <c r="A9" s="36" t="inlineStr">
        <is>
          <t>Key S&amp;R Levels</t>
        </is>
      </c>
      <c r="B9" s="28" t="inlineStr"/>
      <c r="C9" s="53" t="n"/>
      <c r="D9" s="53" t="n"/>
      <c r="E9" s="53" t="n"/>
      <c r="F9" s="53" t="n"/>
      <c r="G9" s="54" t="n"/>
    </row>
    <row r="10" ht="22" customHeight="1">
      <c r="A10" s="36" t="inlineStr">
        <is>
          <t>Max Call OI Strike (Ceiling)</t>
        </is>
      </c>
      <c r="B10" s="28" t="inlineStr"/>
      <c r="C10" s="53" t="n"/>
      <c r="D10" s="53" t="n"/>
      <c r="E10" s="53" t="n"/>
      <c r="F10" s="53" t="n"/>
      <c r="G10" s="54" t="n"/>
    </row>
    <row r="11" ht="22" customHeight="1">
      <c r="A11" s="36" t="inlineStr">
        <is>
          <t>Max Put OI Strike (Floor)</t>
        </is>
      </c>
      <c r="B11" s="28" t="inlineStr"/>
      <c r="C11" s="53" t="n"/>
      <c r="D11" s="53" t="n"/>
      <c r="E11" s="53" t="n"/>
      <c r="F11" s="53" t="n"/>
      <c r="G11" s="54" t="n"/>
    </row>
    <row r="12" ht="22" customHeight="1">
      <c r="A12" s="36" t="inlineStr">
        <is>
          <t>PCR</t>
        </is>
      </c>
      <c r="B12" s="28" t="inlineStr"/>
      <c r="C12" s="53" t="n"/>
      <c r="D12" s="53" t="n"/>
      <c r="E12" s="53" t="n"/>
      <c r="F12" s="53" t="n"/>
      <c r="G12" s="54" t="n"/>
    </row>
    <row r="13" ht="22" customHeight="1">
      <c r="A13" s="36" t="inlineStr">
        <is>
          <t>Daily Bias</t>
        </is>
      </c>
      <c r="B13" s="37" t="inlineStr">
        <is>
          <t>Bullish / Bearish / Sideways</t>
        </is>
      </c>
      <c r="C13" s="53" t="n"/>
      <c r="D13" s="53" t="n"/>
      <c r="E13" s="53" t="n"/>
      <c r="F13" s="53" t="n"/>
      <c r="G13" s="54" t="n"/>
    </row>
    <row r="15" ht="24" customHeight="1">
      <c r="A15" s="25" t="inlineStr">
        <is>
          <t>INTRADAY LEVELS</t>
        </is>
      </c>
    </row>
    <row r="16" ht="22" customHeight="1">
      <c r="A16" s="36" t="inlineStr">
        <is>
          <t>Strong Resistance</t>
        </is>
      </c>
      <c r="B16" s="28" t="inlineStr"/>
      <c r="C16" s="53" t="n"/>
      <c r="D16" s="53" t="n"/>
      <c r="E16" s="53" t="n"/>
      <c r="F16" s="53" t="n"/>
      <c r="G16" s="54" t="n"/>
    </row>
    <row r="17" ht="22" customHeight="1">
      <c r="A17" s="36" t="inlineStr">
        <is>
          <t>Weak Resistance</t>
        </is>
      </c>
      <c r="B17" s="28" t="inlineStr"/>
      <c r="C17" s="53" t="n"/>
      <c r="D17" s="53" t="n"/>
      <c r="E17" s="53" t="n"/>
      <c r="F17" s="53" t="n"/>
      <c r="G17" s="54" t="n"/>
    </row>
    <row r="18" ht="22" customHeight="1">
      <c r="A18" s="36" t="inlineStr">
        <is>
          <t>Current Price</t>
        </is>
      </c>
      <c r="B18" s="28" t="inlineStr"/>
      <c r="C18" s="53" t="n"/>
      <c r="D18" s="53" t="n"/>
      <c r="E18" s="53" t="n"/>
      <c r="F18" s="53" t="n"/>
      <c r="G18" s="54" t="n"/>
    </row>
    <row r="19" ht="22" customHeight="1">
      <c r="A19" s="36" t="inlineStr">
        <is>
          <t>Weak Support</t>
        </is>
      </c>
      <c r="B19" s="28" t="inlineStr"/>
      <c r="C19" s="53" t="n"/>
      <c r="D19" s="53" t="n"/>
      <c r="E19" s="53" t="n"/>
      <c r="F19" s="53" t="n"/>
      <c r="G19" s="54" t="n"/>
    </row>
    <row r="20" ht="22" customHeight="1">
      <c r="A20" s="36" t="inlineStr">
        <is>
          <t>Strong Support</t>
        </is>
      </c>
      <c r="B20" s="28" t="inlineStr"/>
      <c r="C20" s="53" t="n"/>
      <c r="D20" s="53" t="n"/>
      <c r="E20" s="53" t="n"/>
      <c r="F20" s="53" t="n"/>
      <c r="G20" s="54" t="n"/>
    </row>
    <row r="21" ht="22" customHeight="1">
      <c r="A21" s="36" t="inlineStr">
        <is>
          <t>No Trade Zone</t>
        </is>
      </c>
      <c r="B21" s="28" t="inlineStr"/>
      <c r="C21" s="53" t="n"/>
      <c r="D21" s="53" t="n"/>
      <c r="E21" s="53" t="n"/>
      <c r="F21" s="53" t="n"/>
      <c r="G21" s="54" t="n"/>
    </row>
    <row r="23" ht="24" customHeight="1">
      <c r="A23" s="25" t="inlineStr">
        <is>
          <t>TRADE SETUPS PLANNED</t>
        </is>
      </c>
    </row>
    <row r="24" ht="22" customHeight="1">
      <c r="A24" s="36" t="inlineStr">
        <is>
          <t>Setup 1 — Entry Zone</t>
        </is>
      </c>
      <c r="B24" s="28" t="inlineStr"/>
      <c r="C24" s="53" t="n"/>
      <c r="D24" s="53" t="n"/>
      <c r="E24" s="53" t="n"/>
      <c r="F24" s="53" t="n"/>
      <c r="G24" s="54" t="n"/>
    </row>
    <row r="25" ht="22" customHeight="1">
      <c r="A25" s="36" t="inlineStr">
        <is>
          <t>Setup 1 — Type</t>
        </is>
      </c>
      <c r="B25" s="37" t="inlineStr">
        <is>
          <t>PE Buy / CE Buy / Put Sell / Call Sell</t>
        </is>
      </c>
      <c r="C25" s="53" t="n"/>
      <c r="D25" s="53" t="n"/>
      <c r="E25" s="53" t="n"/>
      <c r="F25" s="53" t="n"/>
      <c r="G25" s="54" t="n"/>
    </row>
    <row r="26" ht="22" customHeight="1">
      <c r="A26" s="36" t="inlineStr">
        <is>
          <t>Setup 1 — Stop Loss</t>
        </is>
      </c>
      <c r="B26" s="28" t="inlineStr"/>
      <c r="C26" s="53" t="n"/>
      <c r="D26" s="53" t="n"/>
      <c r="E26" s="53" t="n"/>
      <c r="F26" s="53" t="n"/>
      <c r="G26" s="54" t="n"/>
    </row>
    <row r="27" ht="22" customHeight="1">
      <c r="A27" s="36" t="inlineStr">
        <is>
          <t>Setup 1 — Target 1</t>
        </is>
      </c>
      <c r="B27" s="28" t="inlineStr"/>
      <c r="C27" s="53" t="n"/>
      <c r="D27" s="53" t="n"/>
      <c r="E27" s="53" t="n"/>
      <c r="F27" s="53" t="n"/>
      <c r="G27" s="54" t="n"/>
    </row>
    <row r="28" ht="22" customHeight="1">
      <c r="A28" s="36" t="inlineStr">
        <is>
          <t>Setup 1 — Target 2</t>
        </is>
      </c>
      <c r="B28" s="28" t="inlineStr"/>
      <c r="C28" s="53" t="n"/>
      <c r="D28" s="53" t="n"/>
      <c r="E28" s="53" t="n"/>
      <c r="F28" s="53" t="n"/>
      <c r="G28" s="54" t="n"/>
    </row>
    <row r="29" ht="22" customHeight="1">
      <c r="A29" s="36" t="inlineStr">
        <is>
          <t>Setup 2 — Entry Zone</t>
        </is>
      </c>
      <c r="B29" s="28" t="inlineStr"/>
      <c r="C29" s="53" t="n"/>
      <c r="D29" s="53" t="n"/>
      <c r="E29" s="53" t="n"/>
      <c r="F29" s="53" t="n"/>
      <c r="G29" s="54" t="n"/>
    </row>
    <row r="30" ht="22" customHeight="1">
      <c r="A30" s="36" t="inlineStr">
        <is>
          <t>Setup 2 — Type</t>
        </is>
      </c>
      <c r="B30" s="28" t="inlineStr"/>
      <c r="C30" s="53" t="n"/>
      <c r="D30" s="53" t="n"/>
      <c r="E30" s="53" t="n"/>
      <c r="F30" s="53" t="n"/>
      <c r="G30" s="54" t="n"/>
    </row>
    <row r="31" ht="22" customHeight="1">
      <c r="A31" s="36" t="inlineStr">
        <is>
          <t>Setup 2 — Stop Loss</t>
        </is>
      </c>
      <c r="B31" s="28" t="inlineStr"/>
      <c r="C31" s="53" t="n"/>
      <c r="D31" s="53" t="n"/>
      <c r="E31" s="53" t="n"/>
      <c r="F31" s="53" t="n"/>
      <c r="G31" s="54" t="n"/>
    </row>
    <row r="32" ht="22" customHeight="1">
      <c r="A32" s="36" t="inlineStr">
        <is>
          <t>Setup 2 — Target 1</t>
        </is>
      </c>
      <c r="B32" s="28" t="inlineStr"/>
      <c r="C32" s="53" t="n"/>
      <c r="D32" s="53" t="n"/>
      <c r="E32" s="53" t="n"/>
      <c r="F32" s="53" t="n"/>
      <c r="G32" s="54" t="n"/>
    </row>
    <row r="34" ht="24" customHeight="1">
      <c r="A34" s="25" t="inlineStr">
        <is>
          <t>END OF DAY REVIEW</t>
        </is>
      </c>
    </row>
    <row r="35" ht="22" customHeight="1">
      <c r="A35" s="36" t="inlineStr">
        <is>
          <t>Trades Taken</t>
        </is>
      </c>
      <c r="B35" s="28" t="inlineStr"/>
      <c r="C35" s="53" t="n"/>
      <c r="D35" s="53" t="n"/>
      <c r="E35" s="53" t="n"/>
      <c r="F35" s="53" t="n"/>
      <c r="G35" s="54" t="n"/>
    </row>
    <row r="36" ht="22" customHeight="1">
      <c r="A36" s="36" t="inlineStr">
        <is>
          <t>Trades Won</t>
        </is>
      </c>
      <c r="B36" s="28" t="inlineStr"/>
      <c r="C36" s="53" t="n"/>
      <c r="D36" s="53" t="n"/>
      <c r="E36" s="53" t="n"/>
      <c r="F36" s="53" t="n"/>
      <c r="G36" s="54" t="n"/>
    </row>
    <row r="37" ht="22" customHeight="1">
      <c r="A37" s="36" t="inlineStr">
        <is>
          <t>Trades Lost</t>
        </is>
      </c>
      <c r="B37" s="28" t="inlineStr"/>
      <c r="C37" s="53" t="n"/>
      <c r="D37" s="53" t="n"/>
      <c r="E37" s="53" t="n"/>
      <c r="F37" s="53" t="n"/>
      <c r="G37" s="54" t="n"/>
    </row>
    <row r="38" ht="22" customHeight="1">
      <c r="A38" s="36" t="inlineStr">
        <is>
          <t>P&amp;L Today ₹</t>
        </is>
      </c>
      <c r="B38" s="28" t="inlineStr"/>
      <c r="C38" s="53" t="n"/>
      <c r="D38" s="53" t="n"/>
      <c r="E38" s="53" t="n"/>
      <c r="F38" s="53" t="n"/>
      <c r="G38" s="54" t="n"/>
    </row>
    <row r="39" ht="22" customHeight="1">
      <c r="A39" s="36" t="inlineStr">
        <is>
          <t>Rules Followed?</t>
        </is>
      </c>
      <c r="B39" s="37" t="inlineStr">
        <is>
          <t>Yes / No</t>
        </is>
      </c>
      <c r="C39" s="53" t="n"/>
      <c r="D39" s="53" t="n"/>
      <c r="E39" s="53" t="n"/>
      <c r="F39" s="53" t="n"/>
      <c r="G39" s="54" t="n"/>
    </row>
    <row r="40" ht="22" customHeight="1">
      <c r="A40" s="36" t="inlineStr">
        <is>
          <t>Biggest Mistake</t>
        </is>
      </c>
      <c r="B40" s="28" t="inlineStr"/>
      <c r="C40" s="53" t="n"/>
      <c r="D40" s="53" t="n"/>
      <c r="E40" s="53" t="n"/>
      <c r="F40" s="53" t="n"/>
      <c r="G40" s="54" t="n"/>
    </row>
    <row r="41" ht="22" customHeight="1">
      <c r="A41" s="36" t="inlineStr">
        <is>
          <t>Key Learning</t>
        </is>
      </c>
      <c r="B41" s="28" t="inlineStr"/>
      <c r="C41" s="53" t="n"/>
      <c r="D41" s="53" t="n"/>
      <c r="E41" s="53" t="n"/>
      <c r="F41" s="53" t="n"/>
      <c r="G41" s="54" t="n"/>
    </row>
    <row r="42" ht="22" customHeight="1">
      <c r="A42" s="36" t="inlineStr">
        <is>
          <t>Tomorrow's Plan</t>
        </is>
      </c>
      <c r="B42" s="28" t="inlineStr"/>
      <c r="C42" s="53" t="n"/>
      <c r="D42" s="53" t="n"/>
      <c r="E42" s="53" t="n"/>
      <c r="F42" s="53" t="n"/>
      <c r="G42" s="54" t="n"/>
    </row>
  </sheetData>
  <mergeCells count="38">
    <mergeCell ref="B42:G42"/>
    <mergeCell ref="B17:G17"/>
    <mergeCell ref="B8:G8"/>
    <mergeCell ref="B13:G13"/>
    <mergeCell ref="B29:G29"/>
    <mergeCell ref="B38:G38"/>
    <mergeCell ref="B19:G19"/>
    <mergeCell ref="B10:G10"/>
    <mergeCell ref="B28:G28"/>
    <mergeCell ref="B37:G37"/>
    <mergeCell ref="A34:G34"/>
    <mergeCell ref="B9:G9"/>
    <mergeCell ref="B40:G40"/>
    <mergeCell ref="A15:G15"/>
    <mergeCell ref="B30:G30"/>
    <mergeCell ref="B6:G6"/>
    <mergeCell ref="B24:G24"/>
    <mergeCell ref="B20:G20"/>
    <mergeCell ref="A1:G1"/>
    <mergeCell ref="B5:G5"/>
    <mergeCell ref="B36:G36"/>
    <mergeCell ref="B41:G41"/>
    <mergeCell ref="B32:G32"/>
    <mergeCell ref="B4:G4"/>
    <mergeCell ref="B35:G35"/>
    <mergeCell ref="B26:G26"/>
    <mergeCell ref="B7:G7"/>
    <mergeCell ref="B25:G25"/>
    <mergeCell ref="B16:G16"/>
    <mergeCell ref="A3:G3"/>
    <mergeCell ref="B31:G31"/>
    <mergeCell ref="B27:G27"/>
    <mergeCell ref="B12:G12"/>
    <mergeCell ref="B18:G18"/>
    <mergeCell ref="B21:G21"/>
    <mergeCell ref="B39:G39"/>
    <mergeCell ref="B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2026-05-11T07:34:45Z</dcterms:created>
  <dcterms:modified xmlns:dcterms="http://purl.org/dc/terms/" xmlns:xsi="http://www.w3.org/2001/XMLSchema-instance" xsi:type="dcterms:W3CDTF">2026-05-13T10:07:17Z</dcterms:modified>
</cp:coreProperties>
</file>